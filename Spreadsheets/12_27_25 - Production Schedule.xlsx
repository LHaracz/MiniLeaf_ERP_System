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ummary" sheetId="1" r:id="rId4"/>
    <sheet state="visible" name="Farmers Market 1" sheetId="2" r:id="rId5"/>
    <sheet state="visible" name="Farmers Market 2" sheetId="3" r:id="rId6"/>
    <sheet state="visible" name="Subscriptions" sheetId="4" r:id="rId7"/>
    <sheet state="visible" name="One-Time Orders" sheetId="5" r:id="rId8"/>
    <sheet state="visible" name="Restaraunts" sheetId="6" r:id="rId9"/>
    <sheet state="visible" name="Info Master" sheetId="7" r:id="rId10"/>
    <sheet state="visible" name="Mix Lookup" sheetId="8" r:id="rId11"/>
    <sheet state="visible" name="Seed Usage" sheetId="9" r:id="rId12"/>
    <sheet state="visible" name="Soil Usage" sheetId="10" r:id="rId13"/>
    <sheet state="visible" name="Container Usage" sheetId="11" r:id="rId14"/>
  </sheets>
  <definedNames/>
  <calcPr/>
</workbook>
</file>

<file path=xl/sharedStrings.xml><?xml version="1.0" encoding="utf-8"?>
<sst xmlns="http://schemas.openxmlformats.org/spreadsheetml/2006/main" count="229" uniqueCount="73">
  <si>
    <t>Microgreen</t>
  </si>
  <si>
    <t>Trays to Sow</t>
  </si>
  <si>
    <t>Actual Trays Needed</t>
  </si>
  <si>
    <t>Estimated Prod Cost</t>
  </si>
  <si>
    <t>Start Date</t>
  </si>
  <si>
    <t>Harvest Day:</t>
  </si>
  <si>
    <t>Tray Delta</t>
  </si>
  <si>
    <t>Leftover Oz</t>
  </si>
  <si>
    <t>Extra Containers</t>
  </si>
  <si>
    <t>Arugula</t>
  </si>
  <si>
    <t>Amaranth</t>
  </si>
  <si>
    <t>Basil</t>
  </si>
  <si>
    <t>Beet</t>
  </si>
  <si>
    <t>Broccoli</t>
  </si>
  <si>
    <t>Cabbage</t>
  </si>
  <si>
    <t>Cantaloupe</t>
  </si>
  <si>
    <t>Cilantro</t>
  </si>
  <si>
    <t>Kale</t>
  </si>
  <si>
    <t>Mustard</t>
  </si>
  <si>
    <t>Pea</t>
  </si>
  <si>
    <t>Popcorn</t>
  </si>
  <si>
    <t>Radish</t>
  </si>
  <si>
    <t>Strawberry</t>
  </si>
  <si>
    <t>Sunflower</t>
  </si>
  <si>
    <t>Wheatgrass</t>
  </si>
  <si>
    <t>Total</t>
  </si>
  <si>
    <t>Estimated Demand (oz)</t>
  </si>
  <si>
    <t>Num Containers</t>
  </si>
  <si>
    <t>Potential Rev</t>
  </si>
  <si>
    <t>Actual Inventory OH</t>
  </si>
  <si>
    <t>Actual Pot Rev</t>
  </si>
  <si>
    <t>Inventory Left</t>
  </si>
  <si>
    <t>Inventory Sold</t>
  </si>
  <si>
    <t>Actual Rev</t>
  </si>
  <si>
    <t>Immunity Mix</t>
  </si>
  <si>
    <t>Mental Clarity Mix</t>
  </si>
  <si>
    <t>Energy Detox</t>
  </si>
  <si>
    <t>Anti-Inflammation Mix</t>
  </si>
  <si>
    <t>Hormone Balancing Mix</t>
  </si>
  <si>
    <t>Customer Name</t>
  </si>
  <si>
    <t>Microgreen Type</t>
  </si>
  <si>
    <t>Quantity (oz)</t>
  </si>
  <si>
    <t>Potential Rev (W/O shipping)</t>
  </si>
  <si>
    <t>Frequency (Weekly/Biweekly/Monthly)</t>
  </si>
  <si>
    <t>I forget</t>
  </si>
  <si>
    <t>Weekly</t>
  </si>
  <si>
    <t>Order Number</t>
  </si>
  <si>
    <t>Potental Rev</t>
  </si>
  <si>
    <t>Delivery Method</t>
  </si>
  <si>
    <t>Fulfillment DOW</t>
  </si>
  <si>
    <t>Fulfillment Time</t>
  </si>
  <si>
    <t>Restaraunt</t>
  </si>
  <si>
    <t>Tray Quantity</t>
  </si>
  <si>
    <t>Us</t>
  </si>
  <si>
    <t>Estimated Yield</t>
  </si>
  <si>
    <t>Sell Price/2oz</t>
  </si>
  <si>
    <t>Tray Price</t>
  </si>
  <si>
    <t>Prod Cost</t>
  </si>
  <si>
    <t>Duration(days)</t>
  </si>
  <si>
    <t>Sow Rate(g)</t>
  </si>
  <si>
    <t>Mix Name</t>
  </si>
  <si>
    <t>Percent</t>
  </si>
  <si>
    <t>Total Used (g)</t>
  </si>
  <si>
    <t>Sowing Date</t>
  </si>
  <si>
    <t>Trays Sowed</t>
  </si>
  <si>
    <t>Soil per Tray(cu in)</t>
  </si>
  <si>
    <t>Total Soil Used</t>
  </si>
  <si>
    <t>Date</t>
  </si>
  <si>
    <t>Channel</t>
  </si>
  <si>
    <t>Containers Used</t>
  </si>
  <si>
    <t>Farmers Markets</t>
  </si>
  <si>
    <t>Subscriptions</t>
  </si>
  <si>
    <t>One-Time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</si>
</sst>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" xfId="0" applyFont="1" applyNumberFormat="1"/>
    <xf borderId="0" fillId="0" fontId="2" numFmtId="2" xfId="0" applyFont="1" applyNumberFormat="1"/>
    <xf borderId="0" fillId="0" fontId="2" numFmtId="165" xfId="0" applyFont="1" applyNumberFormat="1"/>
    <xf borderId="0" fillId="0" fontId="2" numFmtId="0" xfId="0" applyFont="1"/>
    <xf borderId="0" fillId="0" fontId="2" numFmtId="164" xfId="0" applyFont="1" applyNumberFormat="1"/>
    <xf borderId="0" fillId="0" fontId="1" numFmtId="1" xfId="0" applyFont="1" applyNumberFormat="1"/>
    <xf borderId="0" fillId="0" fontId="1" numFmtId="165" xfId="0" applyFont="1" applyNumberFormat="1"/>
    <xf borderId="0" fillId="0" fontId="1" numFmtId="0" xfId="0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4" width="17.38"/>
    <col customWidth="1" min="11" max="11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>
        <v>46015.0</v>
      </c>
      <c r="I1" s="1" t="s">
        <v>6</v>
      </c>
      <c r="J1" s="1" t="s">
        <v>7</v>
      </c>
      <c r="K1" s="2" t="s">
        <v>8</v>
      </c>
    </row>
    <row r="2">
      <c r="A2" s="4" t="s">
        <v>9</v>
      </c>
      <c r="B2" s="5">
        <f>CEILING(
  (
    SUMIF('One-Time Orders'!B:B, A2, 'One-Time Orders'!C:C) +
    SUMIF(Subscriptions!B:B, A2, Subscriptions!C:C) +
    SUMIF('Farmers Market 2'!A:A, A2, 'Farmers Market 2'!B:B) +
    SUMIF('Farmers Market 1'!A:A, A2, 'Farmers Market 1'!B:B) +
    SUMPRODUCT(
      ('Mix Lookup'!$B$2:$B$21 = A2) *
      ('Mix Lookup'!$C$2:$C$21) *
      (
        IFERROR(VLOOKUP('Mix Lookup'!$A$2:$A$21, 'Farmers Market 2'!$A$2:$B$98, 2, FALSE), 0) +
        IFERROR(VLOOKUP('Mix Lookup'!$A$2:$A$21, 'Farmers Market 1'!$A$2:$B$102, 2, FALSE), 0)
      ) 
    )
  ) / VLOOKUP(A2, 'Info Master'!A:B, 2, FALSE),
1
) + SUMIF(Restaraunts!B:B, A2, Restaraunts!C:C)
</f>
        <v>0</v>
      </c>
      <c r="C2" s="6">
        <f>(
  (
    SUMIF('One-Time Orders'!B:B, A2, 'One-Time Orders'!C:C) +
    SUMIF(Subscriptions!B:B, A2, Subscriptions!C:C) +
    SUMIF('Farmers Market 2'!A:A, A2, 'Farmers Market 2'!B:B) +
    SUMIF('Farmers Market 1'!A:A, A2, 'Farmers Market 1'!B:B) +
    SUMPRODUCT(
      ('Mix Lookup'!$B$2:$B$94 = A2) *
      ('Mix Lookup'!$C$2:$C$94) *
      (
        IFERROR(VLOOKUP('Mix Lookup'!$A$2:$A$94, 'Farmers Market 2'!$A$2:$B$98, 2, FALSE), 0) +
        IFERROR(VLOOKUP('Mix Lookup'!$A$2:$A$94, 'Farmers Market 1'!$A$2:$B$102, 2, FALSE), 0)
      )
    )
  ) / VLOOKUP(A2, 'Info Master'!A:B, 2, FALSE)
) + SUMIF(Restaraunts!B:B, A2, Restaraunts!C:C)</f>
        <v>0</v>
      </c>
      <c r="D2" s="7">
        <f>VLOOKUP(A2,'Info Master'!$A$2:$E$17,5,false)*B2</f>
        <v>0</v>
      </c>
      <c r="E2" s="8" t="str">
        <f>IF(B2=0,"", $H$1-VLOOKUP(A2,'Info Master'!A2:F17,6,false))</f>
        <v/>
      </c>
      <c r="F2" s="8" t="str">
        <f t="shared" ref="F2:F17" si="1">Text(E2,"ddddddddd")</f>
        <v/>
      </c>
      <c r="I2" s="8">
        <f t="shared" ref="I2:I17" si="2">max(0,B2-C2)</f>
        <v>0</v>
      </c>
      <c r="J2" s="8">
        <f>MAX(0,I2  * VLOOKUP($A2, 'Info Master'!$A:$B, 2, FALSE))</f>
        <v>0</v>
      </c>
      <c r="K2" s="8">
        <f t="shared" ref="K2:K17" si="3">FLOOR(J2 / 2, 1)</f>
        <v>0</v>
      </c>
    </row>
    <row r="3">
      <c r="A3" s="4" t="s">
        <v>10</v>
      </c>
      <c r="B3" s="5">
        <f>CEILING(
  (
    SUMIF('One-Time Orders'!B:B, A3, 'One-Time Orders'!C:C) +
    SUMIF(Subscriptions!B:B, A3, Subscriptions!C:C) +
    SUMIF('Farmers Market 2'!A:A, A3, 'Farmers Market 2'!B:B) +
    SUMIF('Farmers Market 1'!A:A, A3, 'Farmers Market 1'!B:B) +
    SUMPRODUCT(
      ('Mix Lookup'!$B$2:$B$21 = A3) *
      ('Mix Lookup'!$C$2:$C$21) *
      (
        IFERROR(VLOOKUP('Mix Lookup'!$A$2:$A$21, 'Farmers Market 2'!$A$2:$B$98, 2, FALSE), 0) +
        IFERROR(VLOOKUP('Mix Lookup'!$A$2:$A$21, 'Farmers Market 1'!$A$2:$B$102, 2, FALSE), 0)
      ) 
    )
  ) / VLOOKUP(A3, 'Info Master'!A:B, 2, FALSE),
1
) + SUMIF(Restaraunts!B:B, A3, Restaraunts!C:C)
</f>
        <v>0</v>
      </c>
      <c r="C3" s="6">
        <f>(
  (
    SUMIF('One-Time Orders'!B:B, A3, 'One-Time Orders'!C:C) +
    SUMIF(Subscriptions!B:B, A3, Subscriptions!C:C) +
    SUMIF('Farmers Market 2'!A:A, A3, 'Farmers Market 2'!B:B) +
    SUMIF('Farmers Market 1'!A:A, A3, 'Farmers Market 1'!B:B) +
    SUMPRODUCT(
      ('Mix Lookup'!$B$2:$B$94 = A3) *
      ('Mix Lookup'!$C$2:$C$94) *
      (
        IFERROR(VLOOKUP('Mix Lookup'!$A$2:$A$94, 'Farmers Market 2'!$A$2:$B$98, 2, FALSE), 0) +
        IFERROR(VLOOKUP('Mix Lookup'!$A$2:$A$94, 'Farmers Market 1'!$A$2:$B$102, 2, FALSE), 0)
      )
    )
  ) / VLOOKUP(A3, 'Info Master'!A:B, 2, FALSE)
) + SUMIF(Restaraunts!B:B, A3, Restaraunts!C:C)</f>
        <v>0</v>
      </c>
      <c r="D3" s="7">
        <f>VLOOKUP(A3,'Info Master'!$A$2:$E$17,5,false)*B3</f>
        <v>0</v>
      </c>
      <c r="E3" s="8" t="str">
        <f>IF(B3=0,"", $H$1-VLOOKUP(A3,'Info Master'!A3:F21,6,false))</f>
        <v/>
      </c>
      <c r="F3" s="8" t="str">
        <f t="shared" si="1"/>
        <v/>
      </c>
      <c r="I3" s="8">
        <f t="shared" si="2"/>
        <v>0</v>
      </c>
      <c r="J3" s="8">
        <f>MAX(0,I3  * VLOOKUP($A3, 'Info Master'!$A:$B, 2, FALSE))</f>
        <v>0</v>
      </c>
      <c r="K3" s="8">
        <f t="shared" si="3"/>
        <v>0</v>
      </c>
    </row>
    <row r="4">
      <c r="A4" s="4" t="s">
        <v>11</v>
      </c>
      <c r="B4" s="5">
        <f>CEILING(
  (
    SUMIF('One-Time Orders'!B:B, A4, 'One-Time Orders'!C:C) +
    SUMIF(Subscriptions!B:B, A4, Subscriptions!C:C) +
    SUMIF('Farmers Market 2'!A:A, A4, 'Farmers Market 2'!B:B) +
    SUMIF('Farmers Market 1'!A:A, A4, 'Farmers Market 1'!B:B) +
    SUMPRODUCT(
      ('Mix Lookup'!$B$2:$B$21 = A4) *
      ('Mix Lookup'!$C$2:$C$21) *
      (
        IFERROR(VLOOKUP('Mix Lookup'!$A$2:$A$21, 'Farmers Market 2'!$A$2:$B$98, 2, FALSE), 0) +
        IFERROR(VLOOKUP('Mix Lookup'!$A$2:$A$21, 'Farmers Market 1'!$A$2:$B$102, 2, FALSE), 0)
      ) 
    )
  ) / VLOOKUP(A4, 'Info Master'!A:B, 2, FALSE),
1
) + SUMIF(Restaraunts!B:B, A4, Restaraunts!C:C)
</f>
        <v>0</v>
      </c>
      <c r="C4" s="6">
        <f>(
  (
    SUMIF('One-Time Orders'!B:B, A4, 'One-Time Orders'!C:C) +
    SUMIF(Subscriptions!B:B, A4, Subscriptions!C:C) +
    SUMIF('Farmers Market 2'!A:A, A4, 'Farmers Market 2'!B:B) +
    SUMIF('Farmers Market 1'!A:A, A4, 'Farmers Market 1'!B:B) +
    SUMPRODUCT(
      ('Mix Lookup'!$B$2:$B$94 = A4) *
      ('Mix Lookup'!$C$2:$C$94) *
      (
        IFERROR(VLOOKUP('Mix Lookup'!$A$2:$A$94, 'Farmers Market 2'!$A$2:$B$98, 2, FALSE), 0) +
        IFERROR(VLOOKUP('Mix Lookup'!$A$2:$A$94, 'Farmers Market 1'!$A$2:$B$102, 2, FALSE), 0)
      )
    )
  ) / VLOOKUP(A4, 'Info Master'!A:B, 2, FALSE)
) + SUMIF(Restaraunts!B:B, A4, Restaraunts!C:C)</f>
        <v>0</v>
      </c>
      <c r="D4" s="7">
        <f>VLOOKUP(A4,'Info Master'!$A$2:$E$17,5,false)*B4</f>
        <v>0</v>
      </c>
      <c r="E4" s="8" t="str">
        <f>IF(B4=0,"", $H$1-VLOOKUP(A4,'Info Master'!A4:F21,6,false))</f>
        <v/>
      </c>
      <c r="F4" s="8" t="str">
        <f t="shared" si="1"/>
        <v/>
      </c>
      <c r="I4" s="8">
        <f t="shared" si="2"/>
        <v>0</v>
      </c>
      <c r="J4" s="8">
        <f>MAX(0,I4  * VLOOKUP($A4, 'Info Master'!$A:$B, 2, FALSE))</f>
        <v>0</v>
      </c>
      <c r="K4" s="8">
        <f t="shared" si="3"/>
        <v>0</v>
      </c>
    </row>
    <row r="5">
      <c r="A5" s="4" t="s">
        <v>12</v>
      </c>
      <c r="B5" s="5">
        <f>CEILING(
  (
    SUMIF('One-Time Orders'!B:B, A5, 'One-Time Orders'!C:C) +
    SUMIF(Subscriptions!B:B, A5, Subscriptions!C:C) +
    SUMIF('Farmers Market 2'!A:A, A5, 'Farmers Market 2'!B:B) +
    SUMIF('Farmers Market 1'!A:A, A5, 'Farmers Market 1'!B:B) +
    SUMPRODUCT(
      ('Mix Lookup'!$B$2:$B$21 = A5) *
      ('Mix Lookup'!$C$2:$C$21) *
      (
        IFERROR(VLOOKUP('Mix Lookup'!$A$2:$A$21, 'Farmers Market 2'!$A$2:$B$98, 2, FALSE), 0) +
        IFERROR(VLOOKUP('Mix Lookup'!$A$2:$A$21, 'Farmers Market 1'!$A$2:$B$102, 2, FALSE), 0)
      ) 
    )
  ) / VLOOKUP(A5, 'Info Master'!A:B, 2, FALSE),
1
) + SUMIF(Restaraunts!B:B, A5, Restaraunts!C:C)
</f>
        <v>0</v>
      </c>
      <c r="C5" s="6">
        <f>(
  (
    SUMIF('One-Time Orders'!B:B, A5, 'One-Time Orders'!C:C) +
    SUMIF(Subscriptions!B:B, A5, Subscriptions!C:C) +
    SUMIF('Farmers Market 2'!A:A, A5, 'Farmers Market 2'!B:B) +
    SUMIF('Farmers Market 1'!A:A, A5, 'Farmers Market 1'!B:B) +
    SUMPRODUCT(
      ('Mix Lookup'!$B$2:$B$94 = A5) *
      ('Mix Lookup'!$C$2:$C$94) *
      (
        IFERROR(VLOOKUP('Mix Lookup'!$A$2:$A$94, 'Farmers Market 2'!$A$2:$B$98, 2, FALSE), 0) +
        IFERROR(VLOOKUP('Mix Lookup'!$A$2:$A$94, 'Farmers Market 1'!$A$2:$B$102, 2, FALSE), 0)
      )
    )
  ) / VLOOKUP(A5, 'Info Master'!A:B, 2, FALSE)
) + SUMIF(Restaraunts!B:B, A5, Restaraunts!C:C)</f>
        <v>0</v>
      </c>
      <c r="D5" s="7">
        <f>VLOOKUP(A5,'Info Master'!$A$2:$E$17,5,false)*B5</f>
        <v>0</v>
      </c>
      <c r="E5" s="8" t="str">
        <f>IF(B5=0,"", $H$1-VLOOKUP(A5,'Info Master'!A5:F21,6,false))</f>
        <v/>
      </c>
      <c r="F5" s="8" t="str">
        <f t="shared" si="1"/>
        <v/>
      </c>
      <c r="I5" s="8">
        <f t="shared" si="2"/>
        <v>0</v>
      </c>
      <c r="J5" s="8">
        <f>MAX(0,I5  * VLOOKUP($A5, 'Info Master'!$A:$B, 2, FALSE))</f>
        <v>0</v>
      </c>
      <c r="K5" s="8">
        <f t="shared" si="3"/>
        <v>0</v>
      </c>
    </row>
    <row r="6">
      <c r="A6" s="4" t="s">
        <v>13</v>
      </c>
      <c r="B6" s="5">
        <f>CEILING(
  (
    SUMIF('One-Time Orders'!B:B, A6, 'One-Time Orders'!C:C) +
    SUMIF(Subscriptions!B:B, A6, Subscriptions!C:C) +
    SUMIF('Farmers Market 2'!A:A, A6, 'Farmers Market 2'!B:B) +
    SUMIF('Farmers Market 1'!A:A, A6, 'Farmers Market 1'!B:B) +
    SUMPRODUCT(
      ('Mix Lookup'!$B$2:$B$21 = A6) *
      ('Mix Lookup'!$C$2:$C$21) *
      (
        IFERROR(VLOOKUP('Mix Lookup'!$A$2:$A$21, 'Farmers Market 2'!$A$2:$B$98, 2, FALSE), 0) +
        IFERROR(VLOOKUP('Mix Lookup'!$A$2:$A$21, 'Farmers Market 1'!$A$2:$B$102, 2, FALSE), 0)
      ) 
    )
  ) / VLOOKUP(A6, 'Info Master'!A:B, 2, FALSE),
1
) + SUMIF(Restaraunts!B:B, A6, Restaraunts!C:C)
</f>
        <v>3</v>
      </c>
      <c r="C6" s="6">
        <f>(
  (
    SUMIF('One-Time Orders'!B:B, A6, 'One-Time Orders'!C:C) +
    SUMIF(Subscriptions!B:B, A6, Subscriptions!C:C) +
    SUMIF('Farmers Market 2'!A:A, A6, 'Farmers Market 2'!B:B) +
    SUMIF('Farmers Market 1'!A:A, A6, 'Farmers Market 1'!B:B) +
    SUMPRODUCT(
      ('Mix Lookup'!$B$2:$B$94 = A6) *
      ('Mix Lookup'!$C$2:$C$94) *
      (
        IFERROR(VLOOKUP('Mix Lookup'!$A$2:$A$94, 'Farmers Market 2'!$A$2:$B$98, 2, FALSE), 0) +
        IFERROR(VLOOKUP('Mix Lookup'!$A$2:$A$94, 'Farmers Market 1'!$A$2:$B$102, 2, FALSE), 0)
      )
    )
  ) / VLOOKUP(A6, 'Info Master'!A:B, 2, FALSE)
) + SUMIF(Restaraunts!B:B, A6, Restaraunts!C:C)</f>
        <v>2.655095185</v>
      </c>
      <c r="D6" s="7">
        <f>VLOOKUP(A6,'Info Master'!$A$2:$E$17,5,false)*B6</f>
        <v>2.88</v>
      </c>
      <c r="E6" s="9">
        <f>IF(B6=0,"", $H$1-VLOOKUP(A6,'Info Master'!A6:F21,6,false))</f>
        <v>46007</v>
      </c>
      <c r="F6" s="8" t="str">
        <f t="shared" si="1"/>
        <v>Tuesday</v>
      </c>
      <c r="I6" s="8">
        <f t="shared" si="2"/>
        <v>0.3449048152</v>
      </c>
      <c r="J6" s="8">
        <f>MAX(0,I6  * VLOOKUP($A6, 'Info Master'!$A:$B, 2, FALSE))</f>
        <v>3.158974359</v>
      </c>
      <c r="K6" s="8">
        <f t="shared" si="3"/>
        <v>1</v>
      </c>
    </row>
    <row r="7">
      <c r="A7" s="4" t="s">
        <v>14</v>
      </c>
      <c r="B7" s="5">
        <f>CEILING(
  (
    SUMIF('One-Time Orders'!B:B, A7, 'One-Time Orders'!C:C) +
    SUMIF(Subscriptions!B:B, A7, Subscriptions!C:C) +
    SUMIF('Farmers Market 2'!A:A, A7, 'Farmers Market 2'!B:B) +
    SUMIF('Farmers Market 1'!A:A, A7, 'Farmers Market 1'!B:B) +
    SUMPRODUCT(
      ('Mix Lookup'!$B$2:$B$21 = A7) *
      ('Mix Lookup'!$C$2:$C$21) *
      (
        IFERROR(VLOOKUP('Mix Lookup'!$A$2:$A$21, 'Farmers Market 2'!$A$2:$B$98, 2, FALSE), 0) +
        IFERROR(VLOOKUP('Mix Lookup'!$A$2:$A$21, 'Farmers Market 1'!$A$2:$B$102, 2, FALSE), 0)
      ) 
    )
  ) / VLOOKUP(A7, 'Info Master'!A:B, 2, FALSE),
1
) + SUMIF(Restaraunts!B:B, A7, Restaraunts!C:C)
</f>
        <v>0</v>
      </c>
      <c r="C7" s="6">
        <f>(
  (
    SUMIF('One-Time Orders'!B:B, A7, 'One-Time Orders'!C:C) +
    SUMIF(Subscriptions!B:B, A7, Subscriptions!C:C) +
    SUMIF('Farmers Market 2'!A:A, A7, 'Farmers Market 2'!B:B) +
    SUMIF('Farmers Market 1'!A:A, A7, 'Farmers Market 1'!B:B) +
    SUMPRODUCT(
      ('Mix Lookup'!$B$2:$B$94 = A7) *
      ('Mix Lookup'!$C$2:$C$94) *
      (
        IFERROR(VLOOKUP('Mix Lookup'!$A$2:$A$94, 'Farmers Market 2'!$A$2:$B$98, 2, FALSE), 0) +
        IFERROR(VLOOKUP('Mix Lookup'!$A$2:$A$94, 'Farmers Market 1'!$A$2:$B$102, 2, FALSE), 0)
      )
    )
  ) / VLOOKUP(A7, 'Info Master'!A:B, 2, FALSE)
) + SUMIF(Restaraunts!B:B, A7, Restaraunts!C:C)</f>
        <v>0</v>
      </c>
      <c r="D7" s="7">
        <f>VLOOKUP(A7,'Info Master'!$A$2:$E$17,5,false)*B7</f>
        <v>0</v>
      </c>
      <c r="E7" s="8" t="str">
        <f>IF(B7=0,"", $H$1-VLOOKUP(A7,'Info Master'!A7:F21,6,false))</f>
        <v/>
      </c>
      <c r="F7" s="8" t="str">
        <f t="shared" si="1"/>
        <v/>
      </c>
      <c r="I7" s="8">
        <f t="shared" si="2"/>
        <v>0</v>
      </c>
      <c r="J7" s="8">
        <f>MAX(0,I7  * VLOOKUP($A7, 'Info Master'!$A:$B, 2, FALSE))</f>
        <v>0</v>
      </c>
      <c r="K7" s="8">
        <f t="shared" si="3"/>
        <v>0</v>
      </c>
    </row>
    <row r="8">
      <c r="A8" s="4" t="s">
        <v>15</v>
      </c>
      <c r="B8" s="5">
        <f>CEILING(
  (
    SUMIF('One-Time Orders'!B:B, A8, 'One-Time Orders'!C:C) +
    SUMIF(Subscriptions!B:B, A8, Subscriptions!C:C) +
    SUMIF('Farmers Market 2'!A:A, A8, 'Farmers Market 2'!B:B) +
    SUMIF('Farmers Market 1'!A:A, A8, 'Farmers Market 1'!B:B) +
    SUMPRODUCT(
      ('Mix Lookup'!$B$2:$B$21 = A8) *
      ('Mix Lookup'!$C$2:$C$21) *
      (
        IFERROR(VLOOKUP('Mix Lookup'!$A$2:$A$21, 'Farmers Market 2'!$A$2:$B$98, 2, FALSE), 0) +
        IFERROR(VLOOKUP('Mix Lookup'!$A$2:$A$21, 'Farmers Market 1'!$A$2:$B$102, 2, FALSE), 0)
      ) 
    )
  ) / VLOOKUP(A8, 'Info Master'!A:B, 2, FALSE),
1
) + SUMIF(Restaraunts!B:B, A8, Restaraunts!C:C)
</f>
        <v>0</v>
      </c>
      <c r="C8" s="6">
        <f>(
  (
    SUMIF('One-Time Orders'!B:B, A8, 'One-Time Orders'!C:C) +
    SUMIF(Subscriptions!B:B, A8, Subscriptions!C:C) +
    SUMIF('Farmers Market 2'!A:A, A8, 'Farmers Market 2'!B:B) +
    SUMIF('Farmers Market 1'!A:A, A8, 'Farmers Market 1'!B:B) +
    SUMPRODUCT(
      ('Mix Lookup'!$B$2:$B$94 = A8) *
      ('Mix Lookup'!$C$2:$C$94) *
      (
        IFERROR(VLOOKUP('Mix Lookup'!$A$2:$A$94, 'Farmers Market 2'!$A$2:$B$98, 2, FALSE), 0) +
        IFERROR(VLOOKUP('Mix Lookup'!$A$2:$A$94, 'Farmers Market 1'!$A$2:$B$102, 2, FALSE), 0)
      )
    )
  ) / VLOOKUP(A8, 'Info Master'!A:B, 2, FALSE)
) + SUMIF(Restaraunts!B:B, A8, Restaraunts!C:C)</f>
        <v>0</v>
      </c>
      <c r="D8" s="7">
        <f>VLOOKUP(A8,'Info Master'!$A$2:$E$17,5,false)*B8</f>
        <v>0</v>
      </c>
      <c r="E8" s="8" t="str">
        <f>IF(B8=0,"", $H$1-VLOOKUP(A8,'Info Master'!A8:F21,6,false))</f>
        <v/>
      </c>
      <c r="F8" s="8" t="str">
        <f t="shared" si="1"/>
        <v/>
      </c>
      <c r="I8" s="8">
        <f t="shared" si="2"/>
        <v>0</v>
      </c>
      <c r="J8" s="8">
        <f>MAX(0,I8  * VLOOKUP($A8, 'Info Master'!$A:$B, 2, FALSE))</f>
        <v>0</v>
      </c>
      <c r="K8" s="8">
        <f t="shared" si="3"/>
        <v>0</v>
      </c>
    </row>
    <row r="9">
      <c r="A9" s="4" t="s">
        <v>16</v>
      </c>
      <c r="B9" s="5">
        <f>CEILING(
  (
    SUMIF('One-Time Orders'!B:B, A9, 'One-Time Orders'!C:C) +
    SUMIF(Subscriptions!B:B, A9, Subscriptions!C:C) +
    SUMIF('Farmers Market 2'!A:A, A9, 'Farmers Market 2'!B:B) +
    SUMIF('Farmers Market 1'!A:A, A9, 'Farmers Market 1'!B:B) +
    SUMPRODUCT(
      ('Mix Lookup'!$B$2:$B$21 = A9) *
      ('Mix Lookup'!$C$2:$C$21) *
      (
        IFERROR(VLOOKUP('Mix Lookup'!$A$2:$A$21, 'Farmers Market 2'!$A$2:$B$98, 2, FALSE), 0) +
        IFERROR(VLOOKUP('Mix Lookup'!$A$2:$A$21, 'Farmers Market 1'!$A$2:$B$102, 2, FALSE), 0)
      ) 
    )
  ) / VLOOKUP(A9, 'Info Master'!A:B, 2, FALSE),
1
) + SUMIF(Restaraunts!B:B, A9, Restaraunts!C:C)
</f>
        <v>0</v>
      </c>
      <c r="C9" s="6">
        <f>(
  (
    SUMIF('One-Time Orders'!B:B, A9, 'One-Time Orders'!C:C) +
    SUMIF(Subscriptions!B:B, A9, Subscriptions!C:C) +
    SUMIF('Farmers Market 2'!A:A, A9, 'Farmers Market 2'!B:B) +
    SUMIF('Farmers Market 1'!A:A, A9, 'Farmers Market 1'!B:B) +
    SUMPRODUCT(
      ('Mix Lookup'!$B$2:$B$94 = A9) *
      ('Mix Lookup'!$C$2:$C$94) *
      (
        IFERROR(VLOOKUP('Mix Lookup'!$A$2:$A$94, 'Farmers Market 2'!$A$2:$B$98, 2, FALSE), 0) +
        IFERROR(VLOOKUP('Mix Lookup'!$A$2:$A$94, 'Farmers Market 1'!$A$2:$B$102, 2, FALSE), 0)
      )
    )
  ) / VLOOKUP(A9, 'Info Master'!A:B, 2, FALSE)
) + SUMIF(Restaraunts!B:B, A9, Restaraunts!C:C)</f>
        <v>0</v>
      </c>
      <c r="D9" s="7">
        <f>VLOOKUP(A9,'Info Master'!$A$2:$E$17,5,false)*B9</f>
        <v>0</v>
      </c>
      <c r="E9" s="8" t="str">
        <f>IF(B9=0,"", $H$1-VLOOKUP(A9,'Info Master'!A9:F21,6,false))</f>
        <v/>
      </c>
      <c r="F9" s="8" t="str">
        <f t="shared" si="1"/>
        <v/>
      </c>
      <c r="I9" s="8">
        <f t="shared" si="2"/>
        <v>0</v>
      </c>
      <c r="J9" s="8">
        <f>MAX(0,I9  * VLOOKUP($A9, 'Info Master'!$A:$B, 2, FALSE))</f>
        <v>0</v>
      </c>
      <c r="K9" s="8">
        <f t="shared" si="3"/>
        <v>0</v>
      </c>
    </row>
    <row r="10">
      <c r="A10" s="4" t="s">
        <v>17</v>
      </c>
      <c r="B10" s="5">
        <f>CEILING(
  (
    SUMIF('One-Time Orders'!B:B, A10, 'One-Time Orders'!C:C) +
    SUMIF(Subscriptions!B:B, A10, Subscriptions!C:C) +
    SUMIF('Farmers Market 2'!A:A, A10, 'Farmers Market 2'!B:B) +
    SUMIF('Farmers Market 1'!A:A, A10, 'Farmers Market 1'!B:B) +
    SUMPRODUCT(
      ('Mix Lookup'!$B$2:$B$21 = A10) *
      ('Mix Lookup'!$C$2:$C$21) *
      (
        IFERROR(VLOOKUP('Mix Lookup'!$A$2:$A$21, 'Farmers Market 2'!$A$2:$B$98, 2, FALSE), 0) +
        IFERROR(VLOOKUP('Mix Lookup'!$A$2:$A$21, 'Farmers Market 1'!$A$2:$B$102, 2, FALSE), 0)
      ) 
    )
  ) / VLOOKUP(A10, 'Info Master'!A:B, 2, FALSE),
1
) + SUMIF(Restaraunts!B:B, A10, Restaraunts!C:C)
</f>
        <v>0</v>
      </c>
      <c r="C10" s="6">
        <f>(
  (
    SUMIF('One-Time Orders'!B:B, A10, 'One-Time Orders'!C:C) +
    SUMIF(Subscriptions!B:B, A10, Subscriptions!C:C) +
    SUMIF('Farmers Market 2'!A:A, A10, 'Farmers Market 2'!B:B) +
    SUMIF('Farmers Market 1'!A:A, A10, 'Farmers Market 1'!B:B) +
    SUMPRODUCT(
      ('Mix Lookup'!$B$2:$B$94 = A10) *
      ('Mix Lookup'!$C$2:$C$94) *
      (
        IFERROR(VLOOKUP('Mix Lookup'!$A$2:$A$94, 'Farmers Market 2'!$A$2:$B$98, 2, FALSE), 0) +
        IFERROR(VLOOKUP('Mix Lookup'!$A$2:$A$94, 'Farmers Market 1'!$A$2:$B$102, 2, FALSE), 0)
      )
    )
  ) / VLOOKUP(A10, 'Info Master'!A:B, 2, FALSE)
) + SUMIF(Restaraunts!B:B, A10, Restaraunts!C:C)</f>
        <v>0</v>
      </c>
      <c r="D10" s="7">
        <f>VLOOKUP(A10,'Info Master'!$A$2:$E$17,5,false)*B10</f>
        <v>0</v>
      </c>
      <c r="E10" s="8" t="str">
        <f>IF(B10=0,"", $H$1-VLOOKUP(A10,'Info Master'!A10:F27,6,false))</f>
        <v/>
      </c>
      <c r="F10" s="8" t="str">
        <f t="shared" si="1"/>
        <v/>
      </c>
      <c r="I10" s="8">
        <f t="shared" si="2"/>
        <v>0</v>
      </c>
      <c r="J10" s="8">
        <f>MAX(0,I10  * VLOOKUP($A10, 'Info Master'!$A:$B, 2, FALSE))</f>
        <v>0</v>
      </c>
      <c r="K10" s="8">
        <f t="shared" si="3"/>
        <v>0</v>
      </c>
    </row>
    <row r="11">
      <c r="A11" s="4" t="s">
        <v>18</v>
      </c>
      <c r="B11" s="5">
        <f>CEILING(
  (
    SUMIF('One-Time Orders'!B:B, A11, 'One-Time Orders'!C:C) +
    SUMIF(Subscriptions!B:B, A11, Subscriptions!C:C) +
    SUMIF('Farmers Market 2'!A:A, A11, 'Farmers Market 2'!B:B) +
    SUMIF('Farmers Market 1'!A:A, A11, 'Farmers Market 1'!B:B) +
    SUMPRODUCT(
      ('Mix Lookup'!$B$2:$B$21 = A11) *
      ('Mix Lookup'!$C$2:$C$21) *
      (
        IFERROR(VLOOKUP('Mix Lookup'!$A$2:$A$21, 'Farmers Market 2'!$A$2:$B$98, 2, FALSE), 0) +
        IFERROR(VLOOKUP('Mix Lookup'!$A$2:$A$21, 'Farmers Market 1'!$A$2:$B$102, 2, FALSE), 0)
      ) 
    )
  ) / VLOOKUP(A11, 'Info Master'!A:B, 2, FALSE),
1
) + SUMIF(Restaraunts!B:B, A11, Restaraunts!C:C)
</f>
        <v>0</v>
      </c>
      <c r="C11" s="6">
        <f>(
  (
    SUMIF('One-Time Orders'!B:B, A11, 'One-Time Orders'!C:C) +
    SUMIF(Subscriptions!B:B, A11, Subscriptions!C:C) +
    SUMIF('Farmers Market 2'!A:A, A11, 'Farmers Market 2'!B:B) +
    SUMIF('Farmers Market 1'!A:A, A11, 'Farmers Market 1'!B:B) +
    SUMPRODUCT(
      ('Mix Lookup'!$B$2:$B$94 = A11) *
      ('Mix Lookup'!$C$2:$C$94) *
      (
        IFERROR(VLOOKUP('Mix Lookup'!$A$2:$A$94, 'Farmers Market 2'!$A$2:$B$98, 2, FALSE), 0) +
        IFERROR(VLOOKUP('Mix Lookup'!$A$2:$A$94, 'Farmers Market 1'!$A$2:$B$102, 2, FALSE), 0)
      )
    )
  ) / VLOOKUP(A11, 'Info Master'!A:B, 2, FALSE)
) + SUMIF(Restaraunts!B:B, A11, Restaraunts!C:C)</f>
        <v>0</v>
      </c>
      <c r="D11" s="7">
        <f>VLOOKUP(A11,'Info Master'!$A$2:$E$17,5,false)*B11</f>
        <v>0</v>
      </c>
      <c r="E11" s="8" t="str">
        <f>IF(B11=0,"", $H$1-VLOOKUP(A11,'Info Master'!A11:F28,6,false))</f>
        <v/>
      </c>
      <c r="F11" s="8" t="str">
        <f t="shared" si="1"/>
        <v/>
      </c>
      <c r="I11" s="8">
        <f t="shared" si="2"/>
        <v>0</v>
      </c>
      <c r="J11" s="8">
        <f>MAX(0,I11  * VLOOKUP($A11, 'Info Master'!$A:$B, 2, FALSE))</f>
        <v>0</v>
      </c>
      <c r="K11" s="8">
        <f t="shared" si="3"/>
        <v>0</v>
      </c>
    </row>
    <row r="12">
      <c r="A12" s="4" t="s">
        <v>19</v>
      </c>
      <c r="B12" s="5">
        <f>CEILING(
  (
    SUMIF('One-Time Orders'!B:B, A12, 'One-Time Orders'!C:C) +
    SUMIF(Subscriptions!B:B, A12, Subscriptions!C:C) +
    SUMIF('Farmers Market 2'!A:A, A12, 'Farmers Market 2'!B:B) +
    SUMIF('Farmers Market 1'!A:A, A12, 'Farmers Market 1'!B:B) +
    SUMPRODUCT(
      ('Mix Lookup'!$B$2:$B$21 = A12) *
      ('Mix Lookup'!$C$2:$C$21) *
      (
        IFERROR(VLOOKUP('Mix Lookup'!$A$2:$A$21, 'Farmers Market 2'!$A$2:$B$98, 2, FALSE), 0) +
        IFERROR(VLOOKUP('Mix Lookup'!$A$2:$A$21, 'Farmers Market 1'!$A$2:$B$102, 2, FALSE), 0)
      ) 
    )
  ) / VLOOKUP(A12, 'Info Master'!A:B, 2, FALSE),
1
) + SUMIF(Restaraunts!B:B, A12, Restaraunts!C:C)
</f>
        <v>0</v>
      </c>
      <c r="C12" s="6">
        <f>(
  (
    SUMIF('One-Time Orders'!B:B, A12, 'One-Time Orders'!C:C) +
    SUMIF(Subscriptions!B:B, A12, Subscriptions!C:C) +
    SUMIF('Farmers Market 2'!A:A, A12, 'Farmers Market 2'!B:B) +
    SUMIF('Farmers Market 1'!A:A, A12, 'Farmers Market 1'!B:B) +
    SUMPRODUCT(
      ('Mix Lookup'!$B$2:$B$94 = A12) *
      ('Mix Lookup'!$C$2:$C$94) *
      (
        IFERROR(VLOOKUP('Mix Lookup'!$A$2:$A$94, 'Farmers Market 2'!$A$2:$B$98, 2, FALSE), 0) +
        IFERROR(VLOOKUP('Mix Lookup'!$A$2:$A$94, 'Farmers Market 1'!$A$2:$B$102, 2, FALSE), 0)
      )
    )
  ) / VLOOKUP(A12, 'Info Master'!A:B, 2, FALSE)
) + SUMIF(Restaraunts!B:B, A12, Restaraunts!C:C)</f>
        <v>0</v>
      </c>
      <c r="D12" s="7">
        <f>VLOOKUP(A12,'Info Master'!$A$2:$E$17,5,false)*B12</f>
        <v>0</v>
      </c>
      <c r="E12" s="8" t="str">
        <f>IF(B12=0,"", $H$1-VLOOKUP(A12,'Info Master'!A12:F29,6,false))</f>
        <v/>
      </c>
      <c r="F12" s="8" t="str">
        <f t="shared" si="1"/>
        <v/>
      </c>
      <c r="I12" s="8">
        <f t="shared" si="2"/>
        <v>0</v>
      </c>
      <c r="J12" s="8">
        <f>MAX(0,I12  * VLOOKUP($A12, 'Info Master'!$A:$B, 2, FALSE))</f>
        <v>0</v>
      </c>
      <c r="K12" s="8">
        <f t="shared" si="3"/>
        <v>0</v>
      </c>
    </row>
    <row r="13">
      <c r="A13" s="4" t="s">
        <v>20</v>
      </c>
      <c r="B13" s="5">
        <f>CEILING(
  (
    SUMIF('One-Time Orders'!B:B, A13, 'One-Time Orders'!C:C) +
    SUMIF(Subscriptions!B:B, A13, Subscriptions!C:C) +
    SUMIF('Farmers Market 2'!A:A, A13, 'Farmers Market 2'!B:B) +
    SUMIF('Farmers Market 1'!A:A, A13, 'Farmers Market 1'!B:B) +
    SUMPRODUCT(
      ('Mix Lookup'!$B$2:$B$21 = A13) *
      ('Mix Lookup'!$C$2:$C$21) *
      (
        IFERROR(VLOOKUP('Mix Lookup'!$A$2:$A$21, 'Farmers Market 2'!$A$2:$B$98, 2, FALSE), 0) +
        IFERROR(VLOOKUP('Mix Lookup'!$A$2:$A$21, 'Farmers Market 1'!$A$2:$B$102, 2, FALSE), 0)
      ) 
    )
  ) / VLOOKUP(A13, 'Info Master'!A:B, 2, FALSE),
1
) + SUMIF(Restaraunts!B:B, A13, Restaraunts!C:C)
</f>
        <v>0</v>
      </c>
      <c r="C13" s="6">
        <f>(
  (
    SUMIF('One-Time Orders'!B:B, A13, 'One-Time Orders'!C:C) +
    SUMIF(Subscriptions!B:B, A13, Subscriptions!C:C) +
    SUMIF('Farmers Market 2'!A:A, A13, 'Farmers Market 2'!B:B) +
    SUMIF('Farmers Market 1'!A:A, A13, 'Farmers Market 1'!B:B) +
    SUMPRODUCT(
      ('Mix Lookup'!$B$2:$B$94 = A13) *
      ('Mix Lookup'!$C$2:$C$94) *
      (
        IFERROR(VLOOKUP('Mix Lookup'!$A$2:$A$94, 'Farmers Market 2'!$A$2:$B$98, 2, FALSE), 0) +
        IFERROR(VLOOKUP('Mix Lookup'!$A$2:$A$94, 'Farmers Market 1'!$A$2:$B$102, 2, FALSE), 0)
      )
    )
  ) / VLOOKUP(A13, 'Info Master'!A:B, 2, FALSE)
) + SUMIF(Restaraunts!B:B, A13, Restaraunts!C:C)</f>
        <v>0</v>
      </c>
      <c r="D13" s="7">
        <f>VLOOKUP(A13,'Info Master'!$A$2:$E$17,5,false)*B13</f>
        <v>0</v>
      </c>
      <c r="E13" s="8" t="str">
        <f>IF(B13=0,"", $H$1-VLOOKUP(A13,'Info Master'!A13:F30,6,false))</f>
        <v/>
      </c>
      <c r="F13" s="8" t="str">
        <f t="shared" si="1"/>
        <v/>
      </c>
      <c r="I13" s="8">
        <f t="shared" si="2"/>
        <v>0</v>
      </c>
      <c r="J13" s="8">
        <f>MAX(0,I13  * VLOOKUP($A13, 'Info Master'!$A:$B, 2, FALSE))</f>
        <v>0</v>
      </c>
      <c r="K13" s="8">
        <f t="shared" si="3"/>
        <v>0</v>
      </c>
    </row>
    <row r="14">
      <c r="A14" s="4" t="s">
        <v>21</v>
      </c>
      <c r="B14" s="5">
        <f>CEILING(
  (
    SUMIF('One-Time Orders'!B:B, A14, 'One-Time Orders'!C:C) +
    SUMIF(Subscriptions!B:B, A14, Subscriptions!C:C) +
    SUMIF('Farmers Market 2'!A:A, A14, 'Farmers Market 2'!B:B) +
    SUMIF('Farmers Market 1'!A:A, A14, 'Farmers Market 1'!B:B) +
    SUMPRODUCT(
      ('Mix Lookup'!$B$2:$B$21 = A14) *
      ('Mix Lookup'!$C$2:$C$21) *
      (
        IFERROR(VLOOKUP('Mix Lookup'!$A$2:$A$21, 'Farmers Market 2'!$A$2:$B$98, 2, FALSE), 0) +
        IFERROR(VLOOKUP('Mix Lookup'!$A$2:$A$21, 'Farmers Market 1'!$A$2:$B$102, 2, FALSE), 0)
      ) 
    )
  ) / VLOOKUP(A14, 'Info Master'!A:B, 2, FALSE),
1
) + SUMIF(Restaraunts!B:B, A14, Restaraunts!C:C)
</f>
        <v>0</v>
      </c>
      <c r="C14" s="6">
        <f>(
  (
    SUMIF('One-Time Orders'!B:B, A14, 'One-Time Orders'!C:C) +
    SUMIF(Subscriptions!B:B, A14, Subscriptions!C:C) +
    SUMIF('Farmers Market 2'!A:A, A14, 'Farmers Market 2'!B:B) +
    SUMIF('Farmers Market 1'!A:A, A14, 'Farmers Market 1'!B:B) +
    SUMPRODUCT(
      ('Mix Lookup'!$B$2:$B$94 = A14) *
      ('Mix Lookup'!$C$2:$C$94) *
      (
        IFERROR(VLOOKUP('Mix Lookup'!$A$2:$A$94, 'Farmers Market 2'!$A$2:$B$98, 2, FALSE), 0) +
        IFERROR(VLOOKUP('Mix Lookup'!$A$2:$A$94, 'Farmers Market 1'!$A$2:$B$102, 2, FALSE), 0)
      )
    )
  ) / VLOOKUP(A14, 'Info Master'!A:B, 2, FALSE)
) + SUMIF(Restaraunts!B:B, A14, Restaraunts!C:C)</f>
        <v>0</v>
      </c>
      <c r="D14" s="7">
        <f>VLOOKUP(A14,'Info Master'!$A$2:$E$17,5,false)*B14</f>
        <v>0</v>
      </c>
      <c r="E14" s="8" t="str">
        <f>IF(B14=0,"", $H$1-VLOOKUP(A14,'Info Master'!A14:F31,6,false))</f>
        <v/>
      </c>
      <c r="F14" s="8" t="str">
        <f t="shared" si="1"/>
        <v/>
      </c>
      <c r="I14" s="8">
        <f t="shared" si="2"/>
        <v>0</v>
      </c>
      <c r="J14" s="8">
        <f>MAX(0,I14  * VLOOKUP($A14, 'Info Master'!$A:$B, 2, FALSE))</f>
        <v>0</v>
      </c>
      <c r="K14" s="8">
        <f t="shared" si="3"/>
        <v>0</v>
      </c>
    </row>
    <row r="15">
      <c r="A15" s="4" t="s">
        <v>22</v>
      </c>
      <c r="B15" s="5">
        <f>CEILING(
  (
    SUMIF('One-Time Orders'!B:B, A15, 'One-Time Orders'!C:C) +
    SUMIF(Subscriptions!B:B, A15, Subscriptions!C:C) +
    SUMIF('Farmers Market 2'!A:A, A15, 'Farmers Market 2'!B:B) +
    SUMIF('Farmers Market 1'!A:A, A15, 'Farmers Market 1'!B:B) +
    SUMPRODUCT(
      ('Mix Lookup'!$B$2:$B$21 = A15) *
      ('Mix Lookup'!$C$2:$C$21) *
      (
        IFERROR(VLOOKUP('Mix Lookup'!$A$2:$A$21, 'Farmers Market 2'!$A$2:$B$98, 2, FALSE), 0) +
        IFERROR(VLOOKUP('Mix Lookup'!$A$2:$A$21, 'Farmers Market 1'!$A$2:$B$102, 2, FALSE), 0)
      ) 
    )
  ) / VLOOKUP(A15, 'Info Master'!A:B, 2, FALSE),
1
) + SUMIF(Restaraunts!B:B, A15, Restaraunts!C:C)
</f>
        <v>0</v>
      </c>
      <c r="C15" s="6">
        <f>(
  (
    SUMIF('One-Time Orders'!B:B, A15, 'One-Time Orders'!C:C) +
    SUMIF(Subscriptions!B:B, A15, Subscriptions!C:C) +
    SUMIF('Farmers Market 2'!A:A, A15, 'Farmers Market 2'!B:B) +
    SUMIF('Farmers Market 1'!A:A, A15, 'Farmers Market 1'!B:B) +
    SUMPRODUCT(
      ('Mix Lookup'!$B$2:$B$94 = A15) *
      ('Mix Lookup'!$C$2:$C$94) *
      (
        IFERROR(VLOOKUP('Mix Lookup'!$A$2:$A$94, 'Farmers Market 2'!$A$2:$B$98, 2, FALSE), 0) +
        IFERROR(VLOOKUP('Mix Lookup'!$A$2:$A$94, 'Farmers Market 1'!$A$2:$B$102, 2, FALSE), 0)
      )
    )
  ) / VLOOKUP(A15, 'Info Master'!A:B, 2, FALSE)
) + SUMIF(Restaraunts!B:B, A15, Restaraunts!C:C)</f>
        <v>0</v>
      </c>
      <c r="D15" s="7">
        <f>VLOOKUP(A15,'Info Master'!$A$2:$E$17,5,false)*B15</f>
        <v>0</v>
      </c>
      <c r="E15" s="8" t="str">
        <f>IF(B15=0,"", $H$1-VLOOKUP(A15,'Info Master'!A15:F32,6,false))</f>
        <v/>
      </c>
      <c r="F15" s="8" t="str">
        <f t="shared" si="1"/>
        <v/>
      </c>
      <c r="I15" s="8">
        <f t="shared" si="2"/>
        <v>0</v>
      </c>
      <c r="J15" s="8">
        <f>MAX(0,I15  * VLOOKUP($A15, 'Info Master'!$A:$B, 2, FALSE))</f>
        <v>0</v>
      </c>
      <c r="K15" s="8">
        <f t="shared" si="3"/>
        <v>0</v>
      </c>
    </row>
    <row r="16">
      <c r="A16" s="4" t="s">
        <v>23</v>
      </c>
      <c r="B16" s="5">
        <f>CEILING(
  (
    SUMIF('One-Time Orders'!B:B, A16, 'One-Time Orders'!C:C) +
    SUMIF(Subscriptions!B:B, A16, Subscriptions!C:C) +
    SUMIF('Farmers Market 2'!A:A, A16, 'Farmers Market 2'!B:B) +
    SUMIF('Farmers Market 1'!A:A, A16, 'Farmers Market 1'!B:B) +
    SUMPRODUCT(
      ('Mix Lookup'!$B$2:$B$21 = A16) *
      ('Mix Lookup'!$C$2:$C$21) *
      (
        IFERROR(VLOOKUP('Mix Lookup'!$A$2:$A$21, 'Farmers Market 2'!$A$2:$B$98, 2, FALSE), 0) +
        IFERROR(VLOOKUP('Mix Lookup'!$A$2:$A$21, 'Farmers Market 1'!$A$2:$B$102, 2, FALSE), 0)
      ) 
    )
  ) / VLOOKUP(A16, 'Info Master'!A:B, 2, FALSE),
1
) + SUMIF(Restaraunts!B:B, A16, Restaraunts!C:C)
</f>
        <v>0</v>
      </c>
      <c r="C16" s="6">
        <f>(
  (
    SUMIF('One-Time Orders'!B:B, A16, 'One-Time Orders'!C:C) +
    SUMIF(Subscriptions!B:B, A16, Subscriptions!C:C) +
    SUMIF('Farmers Market 2'!A:A, A16, 'Farmers Market 2'!B:B) +
    SUMIF('Farmers Market 1'!A:A, A16, 'Farmers Market 1'!B:B) +
    SUMPRODUCT(
      ('Mix Lookup'!$B$2:$B$94 = A16) *
      ('Mix Lookup'!$C$2:$C$94) *
      (
        IFERROR(VLOOKUP('Mix Lookup'!$A$2:$A$94, 'Farmers Market 2'!$A$2:$B$98, 2, FALSE), 0) +
        IFERROR(VLOOKUP('Mix Lookup'!$A$2:$A$94, 'Farmers Market 1'!$A$2:$B$102, 2, FALSE), 0)
      )
    )
  ) / VLOOKUP(A16, 'Info Master'!A:B, 2, FALSE)
) + SUMIF(Restaraunts!B:B, A16, Restaraunts!C:C)</f>
        <v>0</v>
      </c>
      <c r="D16" s="7">
        <f>VLOOKUP(A16,'Info Master'!$A$2:$E$17,5,false)*B16</f>
        <v>0</v>
      </c>
      <c r="E16" s="8" t="str">
        <f>IF(B16=0,"", $H$1-VLOOKUP(A16,'Info Master'!A16:F33,6,false))</f>
        <v/>
      </c>
      <c r="F16" s="8" t="str">
        <f t="shared" si="1"/>
        <v/>
      </c>
      <c r="I16" s="8">
        <f t="shared" si="2"/>
        <v>0</v>
      </c>
      <c r="J16" s="8">
        <f>MAX(0,I16  * VLOOKUP($A16, 'Info Master'!$A:$B, 2, FALSE))</f>
        <v>0</v>
      </c>
      <c r="K16" s="8">
        <f t="shared" si="3"/>
        <v>0</v>
      </c>
    </row>
    <row r="17">
      <c r="A17" s="4" t="s">
        <v>24</v>
      </c>
      <c r="B17" s="5">
        <f>CEILING(
  (
    SUMIF('One-Time Orders'!B:B, A17, 'One-Time Orders'!C:C) +
    SUMIF(Subscriptions!B:B, A17, Subscriptions!C:C) +
    SUMIF('Farmers Market 2'!A:A, A17, 'Farmers Market 2'!B:B) +
    SUMIF('Farmers Market 1'!A:A, A17, 'Farmers Market 1'!B:B) +
    SUMPRODUCT(
      ('Mix Lookup'!$B$2:$B$21 = A17) *
      ('Mix Lookup'!$C$2:$C$21) *
      (
        IFERROR(VLOOKUP('Mix Lookup'!$A$2:$A$21, 'Farmers Market 2'!$A$2:$B$98, 2, FALSE), 0) +
        IFERROR(VLOOKUP('Mix Lookup'!$A$2:$A$21, 'Farmers Market 1'!$A$2:$B$102, 2, FALSE), 0)
      ) 
    )
  ) / VLOOKUP(A17, 'Info Master'!A:B, 2, FALSE),
1
) + SUMIF(Restaraunts!B:B, A17, Restaraunts!C:C)
</f>
        <v>0</v>
      </c>
      <c r="C17" s="6">
        <f>(
  (
    SUMIF('One-Time Orders'!B:B, A17, 'One-Time Orders'!C:C) +
    SUMIF(Subscriptions!B:B, A17, Subscriptions!C:C) +
    SUMIF('Farmers Market 2'!A:A, A17, 'Farmers Market 2'!B:B) +
    SUMIF('Farmers Market 1'!A:A, A17, 'Farmers Market 1'!B:B) +
    SUMPRODUCT(
      ('Mix Lookup'!$B$2:$B$94 = A17) *
      ('Mix Lookup'!$C$2:$C$94) *
      (
        IFERROR(VLOOKUP('Mix Lookup'!$A$2:$A$94, 'Farmers Market 2'!$A$2:$B$98, 2, FALSE), 0) +
        IFERROR(VLOOKUP('Mix Lookup'!$A$2:$A$94, 'Farmers Market 1'!$A$2:$B$102, 2, FALSE), 0)
      )
    )
  ) / VLOOKUP(A17, 'Info Master'!A:B, 2, FALSE)
) + SUMIF(Restaraunts!B:B, A17, Restaraunts!C:C)</f>
        <v>0</v>
      </c>
      <c r="D17" s="7">
        <f>VLOOKUP(A17,'Info Master'!$A$2:$E$17,5,false)*B17</f>
        <v>0</v>
      </c>
      <c r="E17" s="8" t="str">
        <f>IF(B17=0,"", $H$1-VLOOKUP(A17,'Info Master'!A17:F34,6,false))</f>
        <v/>
      </c>
      <c r="F17" s="8" t="str">
        <f t="shared" si="1"/>
        <v/>
      </c>
      <c r="I17" s="8">
        <f t="shared" si="2"/>
        <v>0</v>
      </c>
      <c r="J17" s="8">
        <f>MAX(0,I17  * VLOOKUP($A17, 'Info Master'!$A:$B, 2, FALSE))</f>
        <v>0</v>
      </c>
      <c r="K17" s="8">
        <f t="shared" si="3"/>
        <v>0</v>
      </c>
    </row>
    <row r="18">
      <c r="A18" s="2" t="s">
        <v>25</v>
      </c>
      <c r="B18" s="10">
        <f>SUM(B2:B17)</f>
        <v>3</v>
      </c>
      <c r="C18" s="5"/>
      <c r="D18" s="11">
        <f>sum(D2:D17)</f>
        <v>2.88</v>
      </c>
      <c r="E18" s="8"/>
      <c r="F18" s="12"/>
    </row>
    <row r="21">
      <c r="G21" s="12"/>
      <c r="H21" s="12"/>
      <c r="I21" s="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</sheetData>
  <conditionalFormatting sqref="A2:F20">
    <cfRule type="expression" dxfId="0" priority="1">
      <formula>$B2&gt;0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9.38"/>
    <col customWidth="1" min="3" max="3" width="13.88"/>
    <col customWidth="1" min="7" max="7" width="17.0"/>
    <col customWidth="1" min="8" max="8" width="12.75"/>
    <col customWidth="1" min="9" max="9" width="12.0"/>
    <col customWidth="1" min="10" max="10" width="12.63"/>
    <col customWidth="1" min="11" max="11" width="9.63"/>
  </cols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/>
      <c r="F1" s="1"/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9</v>
      </c>
      <c r="B2" s="14"/>
      <c r="C2" s="8">
        <f t="shared" ref="C2:C22" si="1">B2/2</f>
        <v>0</v>
      </c>
      <c r="D2" s="7">
        <f>VLOOKUP(A2,'Info Master'!$A$2:$C$17,3,false)*C2</f>
        <v>0</v>
      </c>
      <c r="G2" s="15"/>
      <c r="H2" s="16">
        <f>VLOOKUP(A2,'Info Master'!$A$2:$C$17,3,false)*G2</f>
        <v>0</v>
      </c>
      <c r="I2" s="15"/>
      <c r="J2" s="17">
        <f t="shared" ref="J2:J22" si="2">G2-I2</f>
        <v>0</v>
      </c>
      <c r="K2" s="16">
        <f>VLOOKUP(A2,'Info Master'!$A$2:$C$17,3,false)*J2</f>
        <v>0</v>
      </c>
    </row>
    <row r="3">
      <c r="A3" s="4" t="s">
        <v>10</v>
      </c>
      <c r="B3" s="18"/>
      <c r="C3" s="8">
        <f t="shared" si="1"/>
        <v>0</v>
      </c>
      <c r="D3" s="7">
        <f>VLOOKUP(A3,'Info Master'!$A$2:$C$17,3,false)*C3</f>
        <v>0</v>
      </c>
      <c r="G3" s="15"/>
      <c r="H3" s="16">
        <f>VLOOKUP(A3,'Info Master'!$A$2:$C$17,3,false)*G3</f>
        <v>0</v>
      </c>
      <c r="I3" s="15"/>
      <c r="J3" s="17">
        <f t="shared" si="2"/>
        <v>0</v>
      </c>
      <c r="K3" s="16">
        <f>VLOOKUP(A3,'Info Master'!$A$2:$C$17,3,false)*J3</f>
        <v>0</v>
      </c>
    </row>
    <row r="4">
      <c r="A4" s="4" t="s">
        <v>11</v>
      </c>
      <c r="B4" s="14"/>
      <c r="C4" s="8">
        <f t="shared" si="1"/>
        <v>0</v>
      </c>
      <c r="D4" s="7">
        <f>VLOOKUP(A4,'Info Master'!$A$2:$C$17,3,false)*C4</f>
        <v>0</v>
      </c>
      <c r="G4" s="15"/>
      <c r="H4" s="16">
        <f>VLOOKUP(A4,'Info Master'!$A$2:$C$17,3,false)*G4</f>
        <v>0</v>
      </c>
      <c r="I4" s="15"/>
      <c r="J4" s="17">
        <f t="shared" si="2"/>
        <v>0</v>
      </c>
      <c r="K4" s="16">
        <f>VLOOKUP(A4,'Info Master'!$A$2:$C$17,3,false)*J4</f>
        <v>0</v>
      </c>
    </row>
    <row r="5">
      <c r="A5" s="4" t="s">
        <v>12</v>
      </c>
      <c r="B5" s="18"/>
      <c r="C5" s="8">
        <f t="shared" si="1"/>
        <v>0</v>
      </c>
      <c r="D5" s="7">
        <f>VLOOKUP(A5,'Info Master'!$A$2:$C$17,3,false)*C5</f>
        <v>0</v>
      </c>
      <c r="G5" s="15"/>
      <c r="H5" s="16">
        <f>VLOOKUP(A5,'Info Master'!$A$2:$C$17,3,false)*G5</f>
        <v>0</v>
      </c>
      <c r="I5" s="15"/>
      <c r="J5" s="17">
        <f t="shared" si="2"/>
        <v>0</v>
      </c>
      <c r="K5" s="16">
        <f>VLOOKUP(A5,'Info Master'!$A$2:$C$17,3,false)*J5</f>
        <v>0</v>
      </c>
    </row>
    <row r="6">
      <c r="A6" s="4" t="s">
        <v>13</v>
      </c>
      <c r="B6" s="19"/>
      <c r="C6" s="8">
        <f t="shared" si="1"/>
        <v>0</v>
      </c>
      <c r="D6" s="7">
        <f>VLOOKUP(A6,'Info Master'!$A$2:$C$17,3,false)*C6</f>
        <v>0</v>
      </c>
      <c r="G6" s="15"/>
      <c r="H6" s="16">
        <f>VLOOKUP(A6,'Info Master'!$A$2:$C$17,3,false)*G6</f>
        <v>0</v>
      </c>
      <c r="I6" s="15"/>
      <c r="J6" s="17">
        <f t="shared" si="2"/>
        <v>0</v>
      </c>
      <c r="K6" s="16">
        <f>VLOOKUP(A6,'Info Master'!$A$2:$C$17,3,false)*J6</f>
        <v>0</v>
      </c>
    </row>
    <row r="7">
      <c r="A7" s="4" t="s">
        <v>14</v>
      </c>
      <c r="B7" s="18"/>
      <c r="C7" s="8">
        <f t="shared" si="1"/>
        <v>0</v>
      </c>
      <c r="D7" s="7">
        <f>VLOOKUP(A7,'Info Master'!$A$2:$C$17,3,false)*C7</f>
        <v>0</v>
      </c>
      <c r="G7" s="15"/>
      <c r="H7" s="16">
        <f>VLOOKUP(A7,'Info Master'!$A$2:$C$17,3,false)*G7</f>
        <v>0</v>
      </c>
      <c r="I7" s="15"/>
      <c r="J7" s="17">
        <f t="shared" si="2"/>
        <v>0</v>
      </c>
      <c r="K7" s="16">
        <f>VLOOKUP(A7,'Info Master'!$A$2:$C$17,3,false)*J7</f>
        <v>0</v>
      </c>
    </row>
    <row r="8">
      <c r="A8" s="4" t="s">
        <v>15</v>
      </c>
      <c r="B8" s="18"/>
      <c r="C8" s="8">
        <f t="shared" si="1"/>
        <v>0</v>
      </c>
      <c r="D8" s="7">
        <f>VLOOKUP(A8,'Info Master'!$A$2:$C$17,3,false)*C8</f>
        <v>0</v>
      </c>
      <c r="G8" s="15"/>
      <c r="H8" s="16">
        <f>VLOOKUP(A8,'Info Master'!$A$2:$C$17,3,false)*G8</f>
        <v>0</v>
      </c>
      <c r="I8" s="15"/>
      <c r="J8" s="17">
        <f t="shared" si="2"/>
        <v>0</v>
      </c>
      <c r="K8" s="16">
        <f>VLOOKUP(A8,'Info Master'!$A$2:$C$17,3,false)*J8</f>
        <v>0</v>
      </c>
    </row>
    <row r="9">
      <c r="A9" s="4" t="s">
        <v>16</v>
      </c>
      <c r="B9" s="15"/>
      <c r="C9" s="8">
        <f t="shared" si="1"/>
        <v>0</v>
      </c>
      <c r="D9" s="7">
        <f>VLOOKUP(A9,'Info Master'!$A$2:$C$17,3,false)*C9</f>
        <v>0</v>
      </c>
      <c r="G9" s="15"/>
      <c r="H9" s="16">
        <f>VLOOKUP(A9,'Info Master'!$A$2:$C$17,3,false)*G9</f>
        <v>0</v>
      </c>
      <c r="I9" s="15"/>
      <c r="J9" s="17">
        <f t="shared" si="2"/>
        <v>0</v>
      </c>
      <c r="K9" s="16">
        <f>VLOOKUP(A9,'Info Master'!$A$2:$C$17,3,false)*J9</f>
        <v>0</v>
      </c>
    </row>
    <row r="10">
      <c r="A10" s="4" t="s">
        <v>17</v>
      </c>
      <c r="B10" s="15"/>
      <c r="C10" s="8">
        <f t="shared" si="1"/>
        <v>0</v>
      </c>
      <c r="D10" s="7">
        <f>VLOOKUP(A10,'Info Master'!$A$2:$C$17,3,false)*C10</f>
        <v>0</v>
      </c>
      <c r="G10" s="15"/>
      <c r="H10" s="16">
        <f>VLOOKUP(A10,'Info Master'!$A$2:$C$17,3,false)*G10</f>
        <v>0</v>
      </c>
      <c r="I10" s="15"/>
      <c r="J10" s="17">
        <f t="shared" si="2"/>
        <v>0</v>
      </c>
      <c r="K10" s="16">
        <f>VLOOKUP(A10,'Info Master'!$A$2:$C$17,3,false)*J10</f>
        <v>0</v>
      </c>
    </row>
    <row r="11">
      <c r="A11" s="4" t="s">
        <v>18</v>
      </c>
      <c r="B11" s="18"/>
      <c r="C11" s="8">
        <f t="shared" si="1"/>
        <v>0</v>
      </c>
      <c r="D11" s="7">
        <f>VLOOKUP(A11,'Info Master'!$A$2:$C$17,3,false)*C11</f>
        <v>0</v>
      </c>
      <c r="G11" s="15"/>
      <c r="H11" s="16">
        <f>VLOOKUP(A11,'Info Master'!$A$2:$C$17,3,false)*G11</f>
        <v>0</v>
      </c>
      <c r="I11" s="15"/>
      <c r="J11" s="17">
        <f t="shared" si="2"/>
        <v>0</v>
      </c>
      <c r="K11" s="16">
        <f>VLOOKUP(A11,'Info Master'!$A$2:$C$17,3,false)*J11</f>
        <v>0</v>
      </c>
    </row>
    <row r="12">
      <c r="A12" s="4" t="s">
        <v>19</v>
      </c>
      <c r="B12" s="18"/>
      <c r="C12" s="8">
        <f t="shared" si="1"/>
        <v>0</v>
      </c>
      <c r="D12" s="7">
        <f>VLOOKUP(A12,'Info Master'!$A$2:$C$17,3,false)*C12</f>
        <v>0</v>
      </c>
      <c r="G12" s="15"/>
      <c r="H12" s="16">
        <f>VLOOKUP(A12,'Info Master'!$A$2:$C$17,3,false)*G12</f>
        <v>0</v>
      </c>
      <c r="I12" s="15"/>
      <c r="J12" s="17">
        <f t="shared" si="2"/>
        <v>0</v>
      </c>
      <c r="K12" s="16">
        <f>VLOOKUP(A12,'Info Master'!$A$2:$C$17,3,false)*J12</f>
        <v>0</v>
      </c>
    </row>
    <row r="13">
      <c r="A13" s="4" t="s">
        <v>20</v>
      </c>
      <c r="B13" s="20"/>
      <c r="C13" s="8">
        <f t="shared" si="1"/>
        <v>0</v>
      </c>
      <c r="D13" s="7">
        <f>VLOOKUP(A13,'Info Master'!$A$2:$C$17,3,false)*C13</f>
        <v>0</v>
      </c>
      <c r="G13" s="15"/>
      <c r="H13" s="16">
        <f>VLOOKUP(A13,'Info Master'!$A$2:$C$17,3,false)*G13</f>
        <v>0</v>
      </c>
      <c r="I13" s="15"/>
      <c r="J13" s="17">
        <f t="shared" si="2"/>
        <v>0</v>
      </c>
      <c r="K13" s="16">
        <f>VLOOKUP(A13,'Info Master'!$A$2:$C$17,3,false)*J13</f>
        <v>0</v>
      </c>
    </row>
    <row r="14">
      <c r="A14" s="4" t="s">
        <v>21</v>
      </c>
      <c r="B14" s="19"/>
      <c r="C14" s="8">
        <f t="shared" si="1"/>
        <v>0</v>
      </c>
      <c r="D14" s="7">
        <f>VLOOKUP(A14,'Info Master'!$A$2:$C$17,3,false)*C14</f>
        <v>0</v>
      </c>
      <c r="G14" s="15"/>
      <c r="H14" s="16">
        <f>VLOOKUP(A14,'Info Master'!$A$2:$C$17,3,false)*G14</f>
        <v>0</v>
      </c>
      <c r="I14" s="15"/>
      <c r="J14" s="17">
        <f t="shared" si="2"/>
        <v>0</v>
      </c>
      <c r="K14" s="16">
        <f>VLOOKUP(A14,'Info Master'!$A$2:$C$17,3,false)*J14</f>
        <v>0</v>
      </c>
    </row>
    <row r="15">
      <c r="A15" s="4" t="s">
        <v>22</v>
      </c>
      <c r="B15" s="15"/>
      <c r="C15" s="8">
        <f t="shared" si="1"/>
        <v>0</v>
      </c>
      <c r="D15" s="7">
        <f>VLOOKUP(A15,'Info Master'!$A$2:$C$17,3,false)*C15</f>
        <v>0</v>
      </c>
      <c r="G15" s="15"/>
      <c r="H15" s="16">
        <f>VLOOKUP(A15,'Info Master'!$A$2:$C$17,3,false)*G15</f>
        <v>0</v>
      </c>
      <c r="I15" s="15"/>
      <c r="J15" s="17">
        <f t="shared" si="2"/>
        <v>0</v>
      </c>
      <c r="K15" s="16">
        <f>VLOOKUP(A15,'Info Master'!$A$2:$C$17,3,false)*J15</f>
        <v>0</v>
      </c>
    </row>
    <row r="16">
      <c r="A16" s="4" t="s">
        <v>23</v>
      </c>
      <c r="B16" s="18"/>
      <c r="C16" s="8">
        <f t="shared" si="1"/>
        <v>0</v>
      </c>
      <c r="D16" s="7">
        <f>VLOOKUP(A16,'Info Master'!$A$2:$C$17,3,false)*C16</f>
        <v>0</v>
      </c>
      <c r="G16" s="15"/>
      <c r="H16" s="16">
        <f>VLOOKUP(A16,'Info Master'!$A$2:$C$17,3,false)*G16</f>
        <v>0</v>
      </c>
      <c r="I16" s="15"/>
      <c r="J16" s="17">
        <f t="shared" si="2"/>
        <v>0</v>
      </c>
      <c r="K16" s="16">
        <f>VLOOKUP(A16,'Info Master'!$A$2:$C$17,3,false)*J16</f>
        <v>0</v>
      </c>
    </row>
    <row r="17">
      <c r="A17" s="4" t="s">
        <v>24</v>
      </c>
      <c r="B17" s="15"/>
      <c r="C17" s="8">
        <f t="shared" si="1"/>
        <v>0</v>
      </c>
      <c r="D17" s="7">
        <f>VLOOKUP(A17,'Info Master'!$A$2:$C$17,3,false)*C17</f>
        <v>0</v>
      </c>
      <c r="G17" s="15"/>
      <c r="H17" s="16">
        <f>VLOOKUP(A17,'Info Master'!$A$2:$C$20,3,false)*G17</f>
        <v>0</v>
      </c>
      <c r="I17" s="15"/>
      <c r="J17" s="17">
        <f t="shared" si="2"/>
        <v>0</v>
      </c>
      <c r="K17" s="16">
        <f>VLOOKUP(A17,'Info Master'!$A$2:$C$20,3,false)*J17</f>
        <v>0</v>
      </c>
    </row>
    <row r="18">
      <c r="A18" s="4" t="s">
        <v>34</v>
      </c>
      <c r="B18" s="19"/>
      <c r="C18" s="8">
        <f t="shared" si="1"/>
        <v>0</v>
      </c>
      <c r="D18" s="7">
        <f>VLOOKUP(A18,'Info Master'!$A$2:$C$22,3,false)*C18</f>
        <v>0</v>
      </c>
      <c r="G18" s="15"/>
      <c r="H18" s="16">
        <f>VLOOKUP(A18,'Info Master'!$A$2:$C$20,3,false)*G18</f>
        <v>0</v>
      </c>
      <c r="I18" s="15"/>
      <c r="J18" s="17">
        <f t="shared" si="2"/>
        <v>0</v>
      </c>
      <c r="K18" s="16">
        <f>VLOOKUP(A18,'Info Master'!$A$2:$C$20,3,false)*J18</f>
        <v>0</v>
      </c>
    </row>
    <row r="19">
      <c r="A19" s="4" t="s">
        <v>35</v>
      </c>
      <c r="B19" s="19"/>
      <c r="C19" s="8">
        <f t="shared" si="1"/>
        <v>0</v>
      </c>
      <c r="D19" s="7">
        <f>VLOOKUP(A19,'Info Master'!$A$2:$C$22,3,false)*C19</f>
        <v>0</v>
      </c>
      <c r="G19" s="15"/>
      <c r="H19" s="16">
        <f>VLOOKUP(A19,'Info Master'!$A$2:$C$20,3,false)*G19</f>
        <v>0</v>
      </c>
      <c r="I19" s="15"/>
      <c r="J19" s="17">
        <f t="shared" si="2"/>
        <v>0</v>
      </c>
      <c r="K19" s="16">
        <f>VLOOKUP(A19,'Info Master'!$A$2:$C$20,3,false)*J19</f>
        <v>0</v>
      </c>
    </row>
    <row r="20">
      <c r="A20" s="18" t="s">
        <v>36</v>
      </c>
      <c r="B20" s="19"/>
      <c r="C20" s="8">
        <f t="shared" si="1"/>
        <v>0</v>
      </c>
      <c r="D20" s="7">
        <f>VLOOKUP(A20,'Info Master'!$A$2:$C$22,3,false)*C20</f>
        <v>0</v>
      </c>
      <c r="G20" s="15"/>
      <c r="H20" s="16">
        <f>VLOOKUP(A20,'Info Master'!$A$2:$C$22,3,false)*G20</f>
        <v>0</v>
      </c>
      <c r="I20" s="15"/>
      <c r="J20" s="17">
        <f t="shared" si="2"/>
        <v>0</v>
      </c>
      <c r="K20" s="16">
        <f>VLOOKUP(A20,'Info Master'!$A$2:$C$22,3,false)*J20</f>
        <v>0</v>
      </c>
    </row>
    <row r="21">
      <c r="A21" s="4" t="s">
        <v>37</v>
      </c>
      <c r="B21" s="19"/>
      <c r="C21" s="8">
        <f t="shared" si="1"/>
        <v>0</v>
      </c>
      <c r="D21" s="7">
        <f>VLOOKUP(A21,'Info Master'!$A$2:$C$22,3,false)*C21</f>
        <v>0</v>
      </c>
      <c r="G21" s="15"/>
      <c r="H21" s="16">
        <f>VLOOKUP(A21,'Info Master'!$A$2:$C$22,3,false)*G21</f>
        <v>0</v>
      </c>
      <c r="I21" s="15"/>
      <c r="J21" s="17">
        <f t="shared" si="2"/>
        <v>0</v>
      </c>
      <c r="K21" s="16">
        <f>VLOOKUP(A21,'Info Master'!$A$2:$C$22,3,false)*J21</f>
        <v>0</v>
      </c>
    </row>
    <row r="22">
      <c r="A22" s="4" t="s">
        <v>38</v>
      </c>
      <c r="B22" s="19"/>
      <c r="C22" s="8">
        <f t="shared" si="1"/>
        <v>0</v>
      </c>
      <c r="D22" s="7">
        <f>VLOOKUP(A22,'Info Master'!$A$2:$C$22,3,false)*C22</f>
        <v>0</v>
      </c>
      <c r="G22" s="15"/>
      <c r="H22" s="16">
        <f>VLOOKUP(A22,'Info Master'!$A$2:$C$22,3,false)*G22</f>
        <v>0</v>
      </c>
      <c r="I22" s="15"/>
      <c r="J22" s="17">
        <f t="shared" si="2"/>
        <v>0</v>
      </c>
      <c r="K22" s="16">
        <f>VLOOKUP(A22,'Info Master'!$A$2:$C$22,3,false)*J22</f>
        <v>0</v>
      </c>
    </row>
    <row r="23">
      <c r="A23" s="2" t="s">
        <v>25</v>
      </c>
      <c r="B23" s="15"/>
      <c r="C23" s="12">
        <f t="shared" ref="C23:D23" si="3">SUM(C2:C22)</f>
        <v>0</v>
      </c>
      <c r="D23" s="11">
        <f t="shared" si="3"/>
        <v>0</v>
      </c>
      <c r="E23" s="12"/>
      <c r="F23" s="12"/>
      <c r="G23" s="21">
        <f>sum(G2:G22)</f>
        <v>0</v>
      </c>
      <c r="H23" s="22">
        <f>SUM(H2:H22)</f>
        <v>0</v>
      </c>
      <c r="I23" s="21">
        <f>sum(I2:I22)</f>
        <v>0</v>
      </c>
      <c r="J23" s="21">
        <f t="shared" ref="J23:K23" si="4">SUM(J2:J22)</f>
        <v>0</v>
      </c>
      <c r="K23" s="22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9.38"/>
    <col customWidth="1" min="3" max="3" width="13.88"/>
    <col customWidth="1" min="7" max="7" width="17.0"/>
  </cols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/>
      <c r="F1" s="1"/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9</v>
      </c>
      <c r="C2" s="8">
        <f t="shared" ref="C2:C22" si="1">B2/2</f>
        <v>0</v>
      </c>
      <c r="D2" s="7">
        <f>VLOOKUP(A2,'Info Master'!$A$2:$C$17,3,false)*C2</f>
        <v>0</v>
      </c>
      <c r="G2" s="15"/>
      <c r="H2" s="16">
        <f>VLOOKUP(A2,'Info Master'!$A$2:$C$17,3,false)*G2</f>
        <v>0</v>
      </c>
      <c r="I2" s="15"/>
      <c r="J2" s="17">
        <f t="shared" ref="J2:J22" si="2">G2-I2</f>
        <v>0</v>
      </c>
      <c r="K2" s="16">
        <f>VLOOKUP(A2,'Info Master'!$A$2:$C$17,3,false)*J2</f>
        <v>0</v>
      </c>
    </row>
    <row r="3">
      <c r="A3" s="4" t="s">
        <v>10</v>
      </c>
      <c r="C3" s="8">
        <f t="shared" si="1"/>
        <v>0</v>
      </c>
      <c r="D3" s="7">
        <f>VLOOKUP(A3,'Info Master'!$A$2:$C$17,3,false)*C3</f>
        <v>0</v>
      </c>
      <c r="G3" s="15"/>
      <c r="H3" s="16">
        <f>VLOOKUP(A3,'Info Master'!$A$2:$C$17,3,false)*G3</f>
        <v>0</v>
      </c>
      <c r="I3" s="15"/>
      <c r="J3" s="17">
        <f t="shared" si="2"/>
        <v>0</v>
      </c>
      <c r="K3" s="16">
        <f>VLOOKUP(A3,'Info Master'!$A$2:$C$17,3,false)*J3</f>
        <v>0</v>
      </c>
    </row>
    <row r="4">
      <c r="A4" s="4" t="s">
        <v>11</v>
      </c>
      <c r="C4" s="8">
        <f t="shared" si="1"/>
        <v>0</v>
      </c>
      <c r="D4" s="7">
        <f>VLOOKUP(A4,'Info Master'!$A$2:$C$17,3,false)*C4</f>
        <v>0</v>
      </c>
      <c r="G4" s="15"/>
      <c r="H4" s="16">
        <f>VLOOKUP(A4,'Info Master'!$A$2:$C$17,3,false)*G4</f>
        <v>0</v>
      </c>
      <c r="I4" s="15"/>
      <c r="J4" s="17">
        <f t="shared" si="2"/>
        <v>0</v>
      </c>
      <c r="K4" s="16">
        <f>VLOOKUP(A4,'Info Master'!$A$2:$C$17,3,false)*J4</f>
        <v>0</v>
      </c>
    </row>
    <row r="5">
      <c r="A5" s="4" t="s">
        <v>12</v>
      </c>
      <c r="C5" s="8">
        <f t="shared" si="1"/>
        <v>0</v>
      </c>
      <c r="D5" s="7">
        <f>VLOOKUP(A5,'Info Master'!$A$2:$C$17,3,false)*C5</f>
        <v>0</v>
      </c>
      <c r="G5" s="15"/>
      <c r="H5" s="16">
        <f>VLOOKUP(A5,'Info Master'!$A$2:$C$17,3,false)*G5</f>
        <v>0</v>
      </c>
      <c r="I5" s="15"/>
      <c r="J5" s="17">
        <f t="shared" si="2"/>
        <v>0</v>
      </c>
      <c r="K5" s="16">
        <f>VLOOKUP(A5,'Info Master'!$A$2:$C$17,3,false)*J5</f>
        <v>0</v>
      </c>
    </row>
    <row r="6">
      <c r="A6" s="4" t="s">
        <v>13</v>
      </c>
      <c r="C6" s="8">
        <f t="shared" si="1"/>
        <v>0</v>
      </c>
      <c r="D6" s="7">
        <f>VLOOKUP(A6,'Info Master'!$A$2:$C$17,3,false)*C6</f>
        <v>0</v>
      </c>
      <c r="G6" s="15"/>
      <c r="H6" s="16">
        <f>VLOOKUP(A6,'Info Master'!$A$2:$C$17,3,false)*G6</f>
        <v>0</v>
      </c>
      <c r="I6" s="15"/>
      <c r="J6" s="17">
        <f t="shared" si="2"/>
        <v>0</v>
      </c>
      <c r="K6" s="16">
        <f>VLOOKUP(A6,'Info Master'!$A$2:$C$17,3,false)*J6</f>
        <v>0</v>
      </c>
    </row>
    <row r="7">
      <c r="A7" s="4" t="s">
        <v>14</v>
      </c>
      <c r="C7" s="8">
        <f t="shared" si="1"/>
        <v>0</v>
      </c>
      <c r="D7" s="7">
        <f>VLOOKUP(A7,'Info Master'!$A$2:$C$17,3,false)*C7</f>
        <v>0</v>
      </c>
      <c r="G7" s="15"/>
      <c r="H7" s="16">
        <f>VLOOKUP(A7,'Info Master'!$A$2:$C$17,3,false)*G7</f>
        <v>0</v>
      </c>
      <c r="I7" s="15"/>
      <c r="J7" s="17">
        <f t="shared" si="2"/>
        <v>0</v>
      </c>
      <c r="K7" s="16">
        <f>VLOOKUP(A7,'Info Master'!$A$2:$C$17,3,false)*J7</f>
        <v>0</v>
      </c>
    </row>
    <row r="8">
      <c r="A8" s="4" t="s">
        <v>15</v>
      </c>
      <c r="C8" s="8">
        <f t="shared" si="1"/>
        <v>0</v>
      </c>
      <c r="D8" s="7">
        <f>VLOOKUP(A8,'Info Master'!$A$2:$C$17,3,false)*C8</f>
        <v>0</v>
      </c>
      <c r="G8" s="15"/>
      <c r="H8" s="16">
        <f>VLOOKUP(A8,'Info Master'!$A$2:$C$17,3,false)*G8</f>
        <v>0</v>
      </c>
      <c r="I8" s="15"/>
      <c r="J8" s="17">
        <f t="shared" si="2"/>
        <v>0</v>
      </c>
      <c r="K8" s="16">
        <f>VLOOKUP(A8,'Info Master'!$A$2:$C$17,3,false)*J8</f>
        <v>0</v>
      </c>
    </row>
    <row r="9">
      <c r="A9" s="4" t="s">
        <v>16</v>
      </c>
      <c r="C9" s="8">
        <f t="shared" si="1"/>
        <v>0</v>
      </c>
      <c r="D9" s="7">
        <f>VLOOKUP(A9,'Info Master'!$A$2:$C$17,3,false)*C9</f>
        <v>0</v>
      </c>
      <c r="G9" s="15"/>
      <c r="H9" s="16">
        <f>VLOOKUP(A9,'Info Master'!$A$2:$C$17,3,false)*G9</f>
        <v>0</v>
      </c>
      <c r="I9" s="15"/>
      <c r="J9" s="17">
        <f t="shared" si="2"/>
        <v>0</v>
      </c>
      <c r="K9" s="16">
        <f>VLOOKUP(A9,'Info Master'!$A$2:$C$17,3,false)*J9</f>
        <v>0</v>
      </c>
    </row>
    <row r="10">
      <c r="A10" s="4" t="s">
        <v>17</v>
      </c>
      <c r="C10" s="8">
        <f t="shared" si="1"/>
        <v>0</v>
      </c>
      <c r="D10" s="7">
        <f>VLOOKUP(A10,'Info Master'!$A$2:$C$17,3,false)*C10</f>
        <v>0</v>
      </c>
      <c r="G10" s="15"/>
      <c r="H10" s="16">
        <f>VLOOKUP(A10,'Info Master'!$A$2:$C$17,3,false)*G10</f>
        <v>0</v>
      </c>
      <c r="I10" s="15"/>
      <c r="J10" s="17">
        <f t="shared" si="2"/>
        <v>0</v>
      </c>
      <c r="K10" s="16">
        <f>VLOOKUP(A10,'Info Master'!$A$2:$C$17,3,false)*J10</f>
        <v>0</v>
      </c>
    </row>
    <row r="11">
      <c r="A11" s="4" t="s">
        <v>18</v>
      </c>
      <c r="C11" s="8">
        <f t="shared" si="1"/>
        <v>0</v>
      </c>
      <c r="D11" s="7">
        <f>VLOOKUP(A11,'Info Master'!$A$2:$C$17,3,false)*C11</f>
        <v>0</v>
      </c>
      <c r="G11" s="15"/>
      <c r="H11" s="16">
        <f>VLOOKUP(A11,'Info Master'!$A$2:$C$17,3,false)*G11</f>
        <v>0</v>
      </c>
      <c r="I11" s="15"/>
      <c r="J11" s="17">
        <f t="shared" si="2"/>
        <v>0</v>
      </c>
      <c r="K11" s="16">
        <f>VLOOKUP(A11,'Info Master'!$A$2:$C$17,3,false)*J11</f>
        <v>0</v>
      </c>
    </row>
    <row r="12">
      <c r="A12" s="4" t="s">
        <v>19</v>
      </c>
      <c r="C12" s="8">
        <f t="shared" si="1"/>
        <v>0</v>
      </c>
      <c r="D12" s="7">
        <f>VLOOKUP(A12,'Info Master'!$A$2:$C$17,3,false)*C12</f>
        <v>0</v>
      </c>
      <c r="G12" s="15"/>
      <c r="H12" s="16">
        <f>VLOOKUP(A12,'Info Master'!$A$2:$C$17,3,false)*G12</f>
        <v>0</v>
      </c>
      <c r="I12" s="15"/>
      <c r="J12" s="17">
        <f t="shared" si="2"/>
        <v>0</v>
      </c>
      <c r="K12" s="16">
        <f>VLOOKUP(A12,'Info Master'!$A$2:$C$17,3,false)*J12</f>
        <v>0</v>
      </c>
    </row>
    <row r="13">
      <c r="A13" s="4" t="s">
        <v>20</v>
      </c>
      <c r="C13" s="8">
        <f t="shared" si="1"/>
        <v>0</v>
      </c>
      <c r="D13" s="7">
        <f>VLOOKUP(A13,'Info Master'!$A$2:$C$17,3,false)*C13</f>
        <v>0</v>
      </c>
      <c r="G13" s="15"/>
      <c r="H13" s="16">
        <f>VLOOKUP(A13,'Info Master'!$A$2:$C$17,3,false)*G13</f>
        <v>0</v>
      </c>
      <c r="I13" s="15"/>
      <c r="J13" s="17">
        <f t="shared" si="2"/>
        <v>0</v>
      </c>
      <c r="K13" s="16">
        <f>VLOOKUP(A13,'Info Master'!$A$2:$C$17,3,false)*J13</f>
        <v>0</v>
      </c>
    </row>
    <row r="14">
      <c r="A14" s="4" t="s">
        <v>21</v>
      </c>
      <c r="C14" s="8">
        <f t="shared" si="1"/>
        <v>0</v>
      </c>
      <c r="D14" s="7">
        <f>VLOOKUP(A14,'Info Master'!$A$2:$C$17,3,false)*C14</f>
        <v>0</v>
      </c>
      <c r="G14" s="15"/>
      <c r="H14" s="16">
        <f>VLOOKUP(A14,'Info Master'!$A$2:$C$17,3,false)*G14</f>
        <v>0</v>
      </c>
      <c r="I14" s="15"/>
      <c r="J14" s="17">
        <f t="shared" si="2"/>
        <v>0</v>
      </c>
      <c r="K14" s="16">
        <f>VLOOKUP(A14,'Info Master'!$A$2:$C$17,3,false)*J14</f>
        <v>0</v>
      </c>
    </row>
    <row r="15">
      <c r="A15" s="4" t="s">
        <v>22</v>
      </c>
      <c r="C15" s="8">
        <f t="shared" si="1"/>
        <v>0</v>
      </c>
      <c r="D15" s="7">
        <f>VLOOKUP(A15,'Info Master'!$A$2:$C$17,3,false)*C15</f>
        <v>0</v>
      </c>
      <c r="G15" s="15"/>
      <c r="H15" s="16">
        <f>VLOOKUP(A15,'Info Master'!$A$2:$C$17,3,false)*G15</f>
        <v>0</v>
      </c>
      <c r="I15" s="15"/>
      <c r="J15" s="17">
        <f t="shared" si="2"/>
        <v>0</v>
      </c>
      <c r="K15" s="16">
        <f>VLOOKUP(A15,'Info Master'!$A$2:$C$17,3,false)*J15</f>
        <v>0</v>
      </c>
    </row>
    <row r="16">
      <c r="A16" s="4" t="s">
        <v>23</v>
      </c>
      <c r="C16" s="8">
        <f t="shared" si="1"/>
        <v>0</v>
      </c>
      <c r="D16" s="7">
        <f>VLOOKUP(A16,'Info Master'!$A$2:$C$17,3,false)*C16</f>
        <v>0</v>
      </c>
      <c r="G16" s="15"/>
      <c r="H16" s="16">
        <f>VLOOKUP(A16,'Info Master'!$A$2:$C$17,3,false)*G16</f>
        <v>0</v>
      </c>
      <c r="I16" s="15"/>
      <c r="J16" s="17">
        <f t="shared" si="2"/>
        <v>0</v>
      </c>
      <c r="K16" s="16">
        <f>VLOOKUP(A16,'Info Master'!$A$2:$C$17,3,false)*J16</f>
        <v>0</v>
      </c>
    </row>
    <row r="17">
      <c r="A17" s="4" t="s">
        <v>24</v>
      </c>
      <c r="C17" s="8">
        <f t="shared" si="1"/>
        <v>0</v>
      </c>
      <c r="D17" s="7">
        <f>VLOOKUP(A17,'Info Master'!$A$2:$C$20,3,false)*C17</f>
        <v>0</v>
      </c>
      <c r="G17" s="15"/>
      <c r="H17" s="16">
        <f>VLOOKUP(A17,'Info Master'!$A$2:$C$20,3,false)*G17</f>
        <v>0</v>
      </c>
      <c r="I17" s="15"/>
      <c r="J17" s="17">
        <f t="shared" si="2"/>
        <v>0</v>
      </c>
      <c r="K17" s="16">
        <f>VLOOKUP(A17,'Info Master'!$A$2:$C$20,3,false)*J17</f>
        <v>0</v>
      </c>
    </row>
    <row r="18">
      <c r="A18" s="4" t="s">
        <v>34</v>
      </c>
      <c r="B18" s="14"/>
      <c r="C18" s="8">
        <f t="shared" si="1"/>
        <v>0</v>
      </c>
      <c r="D18" s="7">
        <f>VLOOKUP(A18,'Info Master'!$A$2:$C$22,3,false)*C18</f>
        <v>0</v>
      </c>
      <c r="G18" s="15"/>
      <c r="H18" s="16">
        <f>VLOOKUP(A18,'Info Master'!$A$2:$C$20,3,false)*G18</f>
        <v>0</v>
      </c>
      <c r="I18" s="15"/>
      <c r="J18" s="17">
        <f t="shared" si="2"/>
        <v>0</v>
      </c>
      <c r="K18" s="16">
        <f>VLOOKUP(A18,'Info Master'!$A$2:$C$20,3,false)*J18</f>
        <v>0</v>
      </c>
    </row>
    <row r="19">
      <c r="A19" s="4" t="s">
        <v>35</v>
      </c>
      <c r="B19" s="15"/>
      <c r="C19" s="8">
        <f t="shared" si="1"/>
        <v>0</v>
      </c>
      <c r="D19" s="7">
        <f>VLOOKUP(A19,'Info Master'!$A$2:$C$22,3,false)*C19</f>
        <v>0</v>
      </c>
      <c r="G19" s="15"/>
      <c r="H19" s="16">
        <f>VLOOKUP(A19,'Info Master'!$A$2:$C$20,3,false)*G19</f>
        <v>0</v>
      </c>
      <c r="I19" s="15"/>
      <c r="J19" s="17">
        <f t="shared" si="2"/>
        <v>0</v>
      </c>
      <c r="K19" s="16">
        <f>VLOOKUP(A19,'Info Master'!$A$2:$C$20,3,false)*J19</f>
        <v>0</v>
      </c>
    </row>
    <row r="20">
      <c r="A20" s="18" t="s">
        <v>36</v>
      </c>
      <c r="B20" s="15"/>
      <c r="C20" s="8">
        <f t="shared" si="1"/>
        <v>0</v>
      </c>
      <c r="D20" s="7">
        <f>VLOOKUP(A20,'Info Master'!$A$2:$C$22,3,false)*C20</f>
        <v>0</v>
      </c>
      <c r="G20" s="15"/>
      <c r="H20" s="16">
        <f>VLOOKUP(A20,'Info Master'!$A$2:$C$22,3,false)*G20</f>
        <v>0</v>
      </c>
      <c r="I20" s="15"/>
      <c r="J20" s="17">
        <f t="shared" si="2"/>
        <v>0</v>
      </c>
      <c r="K20" s="16">
        <f>VLOOKUP(A20,'Info Master'!$A$2:$C$22,3,false)*J20</f>
        <v>0</v>
      </c>
    </row>
    <row r="21">
      <c r="A21" s="4" t="s">
        <v>37</v>
      </c>
      <c r="B21" s="15"/>
      <c r="C21" s="8">
        <f t="shared" si="1"/>
        <v>0</v>
      </c>
      <c r="D21" s="7">
        <f>VLOOKUP(A21,'Info Master'!$A$2:$C$22,3,false)*C21</f>
        <v>0</v>
      </c>
      <c r="G21" s="15"/>
      <c r="H21" s="16">
        <f>VLOOKUP(A21,'Info Master'!$A$2:$C$22,3,false)*G21</f>
        <v>0</v>
      </c>
      <c r="I21" s="15"/>
      <c r="J21" s="17">
        <f t="shared" si="2"/>
        <v>0</v>
      </c>
      <c r="K21" s="16">
        <f>VLOOKUP(A21,'Info Master'!$A$2:$C$22,3,false)*J21</f>
        <v>0</v>
      </c>
    </row>
    <row r="22">
      <c r="A22" s="4" t="s">
        <v>38</v>
      </c>
      <c r="B22" s="15"/>
      <c r="C22" s="8">
        <f t="shared" si="1"/>
        <v>0</v>
      </c>
      <c r="D22" s="7">
        <f>VLOOKUP(A22,'Info Master'!$A$2:$C$22,3,false)*C22</f>
        <v>0</v>
      </c>
      <c r="G22" s="15"/>
      <c r="H22" s="16">
        <f>VLOOKUP(A22,'Info Master'!$A$2:$C$22,3,false)*G22</f>
        <v>0</v>
      </c>
      <c r="I22" s="15"/>
      <c r="J22" s="17">
        <f t="shared" si="2"/>
        <v>0</v>
      </c>
      <c r="K22" s="16">
        <f>VLOOKUP(A22,'Info Master'!$A$2:$C$22,3,false)*J22</f>
        <v>0</v>
      </c>
    </row>
    <row r="23">
      <c r="A23" s="2" t="s">
        <v>25</v>
      </c>
      <c r="B23" s="15"/>
      <c r="C23" s="12">
        <f t="shared" ref="C23:D23" si="3">SUM(C2:C22)</f>
        <v>0</v>
      </c>
      <c r="D23" s="11">
        <f t="shared" si="3"/>
        <v>0</v>
      </c>
      <c r="E23" s="12"/>
      <c r="F23" s="12"/>
      <c r="G23" s="21">
        <f>sum(G2:G22)</f>
        <v>0</v>
      </c>
      <c r="H23" s="22">
        <f>SUM(H2:H22)</f>
        <v>0</v>
      </c>
      <c r="I23" s="21">
        <f>sum(I2:I22)</f>
        <v>0</v>
      </c>
      <c r="J23" s="21">
        <f t="shared" ref="J23:K23" si="4">SUM(J2:J22)</f>
        <v>0</v>
      </c>
      <c r="K23" s="22">
        <f t="shared" si="4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25"/>
    <col customWidth="1" min="4" max="4" width="13.88"/>
    <col customWidth="1" min="5" max="5" width="23.63"/>
    <col customWidth="1" min="6" max="6" width="31.13"/>
  </cols>
  <sheetData>
    <row r="1">
      <c r="A1" s="1" t="s">
        <v>39</v>
      </c>
      <c r="B1" s="1" t="s">
        <v>40</v>
      </c>
      <c r="C1" s="1" t="s">
        <v>41</v>
      </c>
      <c r="D1" s="1" t="s">
        <v>27</v>
      </c>
      <c r="E1" s="1" t="s">
        <v>42</v>
      </c>
      <c r="F1" s="1" t="s">
        <v>43</v>
      </c>
    </row>
    <row r="2">
      <c r="A2" s="4" t="s">
        <v>44</v>
      </c>
      <c r="B2" s="4" t="s">
        <v>13</v>
      </c>
      <c r="C2" s="4">
        <v>6.0</v>
      </c>
      <c r="D2" s="4">
        <f t="shared" ref="D2:D21" si="1">C2/2</f>
        <v>3</v>
      </c>
      <c r="E2" s="23">
        <f>VLOOKUP(B2,'Info Master'!$A$2:$C$22,3,false)*D2*0.85</f>
        <v>15.3</v>
      </c>
      <c r="F2" s="4" t="s">
        <v>45</v>
      </c>
    </row>
    <row r="3">
      <c r="D3" s="4">
        <f t="shared" si="1"/>
        <v>0</v>
      </c>
      <c r="E3" s="4" t="str">
        <f>VLOOKUP(B3,'Info Master'!$A$2:$C$22,3,false)*D3*0.85</f>
        <v>#N/A</v>
      </c>
    </row>
    <row r="4">
      <c r="D4" s="4">
        <f t="shared" si="1"/>
        <v>0</v>
      </c>
      <c r="E4" s="4" t="str">
        <f>VLOOKUP(B4,'Info Master'!$A$2:$C$22,3,false)*D4*0.85</f>
        <v>#N/A</v>
      </c>
    </row>
    <row r="5">
      <c r="D5" s="4">
        <f t="shared" si="1"/>
        <v>0</v>
      </c>
      <c r="E5" s="4" t="str">
        <f>VLOOKUP(B5,'Info Master'!$A$2:$C$22,3,false)*D5*0.85</f>
        <v>#N/A</v>
      </c>
    </row>
    <row r="6">
      <c r="D6" s="4">
        <f t="shared" si="1"/>
        <v>0</v>
      </c>
      <c r="E6" s="4" t="str">
        <f>VLOOKUP(B6,'Info Master'!$A$2:$C$22,3,false)*D6*0.85</f>
        <v>#N/A</v>
      </c>
    </row>
    <row r="7">
      <c r="D7" s="4">
        <f t="shared" si="1"/>
        <v>0</v>
      </c>
      <c r="E7" s="4" t="str">
        <f>VLOOKUP(B7,'Info Master'!$A$2:$C$22,3,false)*D7*0.85</f>
        <v>#N/A</v>
      </c>
    </row>
    <row r="8">
      <c r="D8" s="4">
        <f t="shared" si="1"/>
        <v>0</v>
      </c>
      <c r="E8" s="4" t="str">
        <f>VLOOKUP(B8,'Info Master'!$A$2:$C$22,3,false)*D8*0.85</f>
        <v>#N/A</v>
      </c>
    </row>
    <row r="9">
      <c r="D9" s="4">
        <f t="shared" si="1"/>
        <v>0</v>
      </c>
      <c r="E9" s="4" t="str">
        <f>VLOOKUP(B9,'Info Master'!$A$2:$C$22,3,false)*D9*0.85</f>
        <v>#N/A</v>
      </c>
    </row>
    <row r="10">
      <c r="D10" s="4">
        <f t="shared" si="1"/>
        <v>0</v>
      </c>
      <c r="E10" s="4" t="str">
        <f>VLOOKUP(B10,'Info Master'!$A$2:$C$22,3,false)*D10*0.85</f>
        <v>#N/A</v>
      </c>
    </row>
    <row r="11">
      <c r="D11" s="4">
        <f t="shared" si="1"/>
        <v>0</v>
      </c>
      <c r="E11" s="4" t="str">
        <f>VLOOKUP(B11,'Info Master'!$A$2:$C$22,3,false)*D11*0.85</f>
        <v>#N/A</v>
      </c>
    </row>
    <row r="12">
      <c r="D12" s="4">
        <f t="shared" si="1"/>
        <v>0</v>
      </c>
      <c r="E12" s="4" t="str">
        <f>VLOOKUP(B12,'Info Master'!$A$2:$C$22,3,false)*D12*0.85</f>
        <v>#N/A</v>
      </c>
    </row>
    <row r="13">
      <c r="D13" s="4">
        <f t="shared" si="1"/>
        <v>0</v>
      </c>
      <c r="E13" s="4" t="str">
        <f>VLOOKUP(B13,'Info Master'!$A$2:$C$22,3,false)*D13*0.85</f>
        <v>#N/A</v>
      </c>
    </row>
    <row r="14">
      <c r="D14" s="4">
        <f t="shared" si="1"/>
        <v>0</v>
      </c>
      <c r="E14" s="4" t="str">
        <f>VLOOKUP(B14,'Info Master'!$A$2:$C$22,3,false)*D14*0.85</f>
        <v>#N/A</v>
      </c>
    </row>
    <row r="15">
      <c r="D15" s="4">
        <f t="shared" si="1"/>
        <v>0</v>
      </c>
      <c r="E15" s="4" t="str">
        <f>VLOOKUP(B15,'Info Master'!$A$2:$C$22,3,false)*D15*0.85</f>
        <v>#N/A</v>
      </c>
    </row>
    <row r="16">
      <c r="D16" s="4">
        <f t="shared" si="1"/>
        <v>0</v>
      </c>
      <c r="E16" s="4" t="str">
        <f>VLOOKUP(B16,'Info Master'!$A$2:$C$22,3,false)*D16*0.85</f>
        <v>#N/A</v>
      </c>
    </row>
    <row r="17">
      <c r="D17" s="4">
        <f t="shared" si="1"/>
        <v>0</v>
      </c>
      <c r="E17" s="4" t="str">
        <f>VLOOKUP(B17,'Info Master'!$A$2:$C$22,3,false)*D17*0.85</f>
        <v>#N/A</v>
      </c>
    </row>
    <row r="18">
      <c r="D18" s="4">
        <f t="shared" si="1"/>
        <v>0</v>
      </c>
      <c r="E18" s="4" t="str">
        <f>VLOOKUP(B18,'Info Master'!$A$2:$C$22,3,false)*D18*0.85</f>
        <v>#N/A</v>
      </c>
    </row>
    <row r="19">
      <c r="D19" s="4">
        <f t="shared" si="1"/>
        <v>0</v>
      </c>
      <c r="E19" s="4" t="str">
        <f>VLOOKUP(B19,'Info Master'!$A$2:$C$22,3,false)*D19*0.85</f>
        <v>#N/A</v>
      </c>
    </row>
    <row r="20">
      <c r="D20" s="4">
        <f t="shared" si="1"/>
        <v>0</v>
      </c>
      <c r="E20" s="4" t="str">
        <f>VLOOKUP(B20,'Info Master'!$A$2:$C$22,3,false)*D20*0.85</f>
        <v>#N/A</v>
      </c>
    </row>
    <row r="21">
      <c r="D21" s="4">
        <f t="shared" si="1"/>
        <v>0</v>
      </c>
      <c r="E21" s="4" t="str">
        <f>VLOOKUP(B21,'Info Master'!$A$2:$C$22,3,false)*D21*0.85</f>
        <v>#N/A</v>
      </c>
    </row>
    <row r="22">
      <c r="E22" s="8" t="str">
        <f>sum(E2:E7)</f>
        <v>#N/A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25"/>
    <col customWidth="1" min="4" max="4" width="13.88"/>
  </cols>
  <sheetData>
    <row r="1">
      <c r="A1" s="13" t="s">
        <v>39</v>
      </c>
      <c r="B1" s="13" t="s">
        <v>46</v>
      </c>
      <c r="C1" s="13" t="s">
        <v>40</v>
      </c>
      <c r="D1" s="13" t="s">
        <v>41</v>
      </c>
      <c r="E1" s="13" t="s">
        <v>27</v>
      </c>
      <c r="F1" s="24" t="s">
        <v>47</v>
      </c>
      <c r="G1" s="24" t="s">
        <v>48</v>
      </c>
      <c r="H1" s="25" t="s">
        <v>49</v>
      </c>
      <c r="I1" s="25" t="s">
        <v>50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5"/>
      <c r="B2" s="15"/>
      <c r="C2" s="18"/>
      <c r="D2" s="17"/>
      <c r="E2" s="17">
        <f t="shared" ref="E2:E31" si="1">D2/2</f>
        <v>0</v>
      </c>
      <c r="F2" s="15"/>
      <c r="G2" s="14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5"/>
      <c r="B3" s="15"/>
      <c r="C3" s="18"/>
      <c r="D3" s="17"/>
      <c r="E3" s="17">
        <f t="shared" si="1"/>
        <v>0</v>
      </c>
      <c r="F3" s="15"/>
      <c r="G3" s="14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5"/>
      <c r="B4" s="15"/>
      <c r="C4" s="18"/>
      <c r="D4" s="15"/>
      <c r="E4" s="17">
        <f t="shared" si="1"/>
        <v>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/>
      <c r="B5" s="15"/>
      <c r="C5" s="18"/>
      <c r="D5" s="15"/>
      <c r="E5" s="17">
        <f t="shared" si="1"/>
        <v>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5"/>
      <c r="C6" s="15"/>
      <c r="D6" s="15"/>
      <c r="E6" s="17">
        <f t="shared" si="1"/>
        <v>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7">
        <f t="shared" si="1"/>
        <v>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15"/>
      <c r="C8" s="15"/>
      <c r="D8" s="15"/>
      <c r="E8" s="17">
        <f t="shared" si="1"/>
        <v>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15"/>
      <c r="C9" s="15"/>
      <c r="D9" s="15"/>
      <c r="E9" s="17">
        <f t="shared" si="1"/>
        <v>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5"/>
      <c r="C10" s="15"/>
      <c r="D10" s="15"/>
      <c r="E10" s="17">
        <f t="shared" si="1"/>
        <v>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15"/>
      <c r="C11" s="15"/>
      <c r="D11" s="15"/>
      <c r="E11" s="17">
        <f t="shared" si="1"/>
        <v>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5"/>
      <c r="C12" s="15"/>
      <c r="D12" s="15"/>
      <c r="E12" s="17">
        <f t="shared" si="1"/>
        <v>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5"/>
      <c r="C13" s="15"/>
      <c r="D13" s="15"/>
      <c r="E13" s="17">
        <f t="shared" si="1"/>
        <v>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5"/>
      <c r="D14" s="15"/>
      <c r="E14" s="17">
        <f t="shared" si="1"/>
        <v>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5"/>
      <c r="D15" s="15"/>
      <c r="E15" s="17">
        <f t="shared" si="1"/>
        <v>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5"/>
      <c r="D16" s="15"/>
      <c r="E16" s="17">
        <f t="shared" si="1"/>
        <v>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7">
        <f t="shared" si="1"/>
        <v>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15"/>
      <c r="E18" s="17">
        <f t="shared" si="1"/>
        <v>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15"/>
      <c r="E19" s="17">
        <f t="shared" si="1"/>
        <v>0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17">
        <f t="shared" si="1"/>
        <v>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7">
        <f t="shared" si="1"/>
        <v>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7">
        <f t="shared" si="1"/>
        <v>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7">
        <f t="shared" si="1"/>
        <v>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7">
        <f t="shared" si="1"/>
        <v>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7">
        <f t="shared" si="1"/>
        <v>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7">
        <f t="shared" si="1"/>
        <v>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7">
        <f t="shared" si="1"/>
        <v>0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7">
        <f t="shared" si="1"/>
        <v>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7">
        <f t="shared" si="1"/>
        <v>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7">
        <f t="shared" si="1"/>
        <v>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7">
        <f t="shared" si="1"/>
        <v>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" t="s">
        <v>51</v>
      </c>
      <c r="B1" s="1" t="s">
        <v>0</v>
      </c>
      <c r="C1" s="1" t="s">
        <v>52</v>
      </c>
      <c r="D1" s="1" t="s">
        <v>47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4" t="s">
        <v>53</v>
      </c>
      <c r="B2" s="4" t="s">
        <v>13</v>
      </c>
      <c r="C2" s="4">
        <v>2.0</v>
      </c>
      <c r="D2" s="7">
        <f>VLOOKUP(B2,'Info Master'!$A$2:$D$20,4,false)*C2</f>
        <v>40</v>
      </c>
    </row>
    <row r="3">
      <c r="D3" s="8" t="str">
        <f>VLOOKUP(B3,'Info Master'!$A$2:$D$20,4,false)*C3</f>
        <v>#N/A</v>
      </c>
    </row>
    <row r="4">
      <c r="D4" s="8" t="str">
        <f>VLOOKUP(B4,'Info Master'!$A$2:$D$20,4,false)*C4</f>
        <v>#N/A</v>
      </c>
    </row>
    <row r="5">
      <c r="D5" s="8" t="str">
        <f>VLOOKUP(B5,'Info Master'!$A$2:$D$20,4,false)*C5</f>
        <v>#N/A</v>
      </c>
    </row>
    <row r="6">
      <c r="D6" s="8" t="str">
        <f>VLOOKUP(B6,'Info Master'!$A$2:$D$20,4,false)*C6</f>
        <v>#N/A</v>
      </c>
    </row>
    <row r="7">
      <c r="D7" s="8" t="str">
        <f>VLOOKUP(B7,'Info Master'!$A$2:$D$20,4,false)*C7</f>
        <v>#N/A</v>
      </c>
    </row>
    <row r="8">
      <c r="D8" s="8" t="str">
        <f>VLOOKUP(B8,'Info Master'!$A$2:$D$20,4,false)*C8</f>
        <v>#N/A</v>
      </c>
    </row>
    <row r="9">
      <c r="D9" s="8" t="str">
        <f>VLOOKUP(B9,'Info Master'!$A$2:$D$20,4,false)*C9</f>
        <v>#N/A</v>
      </c>
    </row>
    <row r="10">
      <c r="D10" s="8" t="str">
        <f>VLOOKUP(B10,'Info Master'!$A$2:$D$20,4,false)*C10</f>
        <v>#N/A</v>
      </c>
    </row>
    <row r="11">
      <c r="D11" s="8" t="str">
        <f>VLOOKUP(B11,'Info Master'!$A$2:$D$20,4,false)*C11</f>
        <v>#N/A</v>
      </c>
    </row>
    <row r="12">
      <c r="D12" s="8" t="str">
        <f>VLOOKUP(B12,'Info Master'!$A$2:$D$20,4,false)*C12</f>
        <v>#N/A</v>
      </c>
    </row>
    <row r="13">
      <c r="D13" s="8" t="str">
        <f>VLOOKUP(B13,'Info Master'!$A$2:$D$20,4,false)*C13</f>
        <v>#N/A</v>
      </c>
    </row>
    <row r="14">
      <c r="D14" s="8" t="str">
        <f>VLOOKUP(B14,'Info Master'!$A$2:$D$20,4,false)*C14</f>
        <v>#N/A</v>
      </c>
    </row>
    <row r="15">
      <c r="D15" s="8" t="str">
        <f>VLOOKUP(B15,'Info Master'!$A$2:$D$20,4,false)*C15</f>
        <v>#N/A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3.38"/>
  </cols>
  <sheetData>
    <row r="1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4" t="s">
        <v>9</v>
      </c>
      <c r="B2" s="19">
        <v>9.407916666666667</v>
      </c>
      <c r="C2" s="23">
        <v>6.0</v>
      </c>
      <c r="D2" s="23">
        <v>20.0</v>
      </c>
      <c r="E2" s="23">
        <v>1.1</v>
      </c>
      <c r="F2" s="4">
        <v>8.0</v>
      </c>
      <c r="G2" s="4">
        <v>25.0</v>
      </c>
    </row>
    <row r="3">
      <c r="A3" s="4" t="s">
        <v>10</v>
      </c>
      <c r="B3" s="19">
        <v>5.17111111111111</v>
      </c>
      <c r="C3" s="23">
        <v>6.0</v>
      </c>
      <c r="D3" s="23">
        <v>20.0</v>
      </c>
      <c r="E3" s="23">
        <v>1.11</v>
      </c>
      <c r="F3" s="4">
        <v>8.0</v>
      </c>
      <c r="G3" s="4">
        <v>15.0</v>
      </c>
    </row>
    <row r="4">
      <c r="A4" s="4" t="s">
        <v>11</v>
      </c>
      <c r="B4" s="19">
        <v>3.956315789473685</v>
      </c>
      <c r="C4" s="23">
        <v>8.0</v>
      </c>
      <c r="D4" s="23">
        <v>20.0</v>
      </c>
      <c r="E4" s="23">
        <v>1.06</v>
      </c>
      <c r="F4" s="4">
        <v>18.0</v>
      </c>
      <c r="G4" s="4">
        <v>15.0</v>
      </c>
    </row>
    <row r="5">
      <c r="A5" s="4" t="s">
        <v>12</v>
      </c>
      <c r="B5" s="19">
        <v>2.5392857142857146</v>
      </c>
      <c r="C5" s="23">
        <v>6.0</v>
      </c>
      <c r="D5" s="23">
        <v>20.0</v>
      </c>
      <c r="E5" s="23">
        <v>1.7</v>
      </c>
      <c r="F5" s="4">
        <v>11.0</v>
      </c>
      <c r="G5" s="4">
        <v>40.0</v>
      </c>
    </row>
    <row r="6">
      <c r="A6" s="4" t="s">
        <v>13</v>
      </c>
      <c r="B6" s="19">
        <v>9.158974358974357</v>
      </c>
      <c r="C6" s="23">
        <v>6.0</v>
      </c>
      <c r="D6" s="23">
        <v>20.0</v>
      </c>
      <c r="E6" s="23">
        <v>0.96</v>
      </c>
      <c r="F6" s="4">
        <v>8.0</v>
      </c>
      <c r="G6" s="4">
        <v>25.0</v>
      </c>
    </row>
    <row r="7">
      <c r="A7" s="4" t="s">
        <v>14</v>
      </c>
      <c r="B7" s="19">
        <v>8.284374999999999</v>
      </c>
      <c r="C7" s="23">
        <v>6.0</v>
      </c>
      <c r="D7" s="23">
        <v>20.0</v>
      </c>
      <c r="E7" s="23">
        <v>1.2</v>
      </c>
      <c r="F7" s="4">
        <v>8.0</v>
      </c>
      <c r="G7" s="4">
        <v>25.0</v>
      </c>
    </row>
    <row r="8">
      <c r="A8" s="4" t="s">
        <v>15</v>
      </c>
      <c r="B8" s="19">
        <v>6.140000000000001</v>
      </c>
      <c r="C8" s="23">
        <v>6.0</v>
      </c>
      <c r="D8" s="23">
        <v>20.0</v>
      </c>
      <c r="E8" s="23">
        <v>1.1</v>
      </c>
      <c r="F8" s="4">
        <v>13.0</v>
      </c>
      <c r="G8" s="4">
        <v>30.0</v>
      </c>
    </row>
    <row r="9">
      <c r="A9" s="4" t="s">
        <v>16</v>
      </c>
      <c r="B9" s="20">
        <v>3.5</v>
      </c>
      <c r="C9" s="23">
        <v>8.0</v>
      </c>
      <c r="D9" s="23">
        <v>20.0</v>
      </c>
      <c r="E9" s="23">
        <v>0.94</v>
      </c>
      <c r="F9" s="4">
        <v>13.0</v>
      </c>
      <c r="G9" s="4">
        <v>30.0</v>
      </c>
    </row>
    <row r="10">
      <c r="A10" s="4" t="s">
        <v>17</v>
      </c>
      <c r="B10" s="20">
        <v>13.0</v>
      </c>
      <c r="C10" s="23">
        <v>6.0</v>
      </c>
      <c r="D10" s="23">
        <v>20.0</v>
      </c>
      <c r="E10" s="23">
        <v>1.08</v>
      </c>
      <c r="F10" s="4">
        <v>8.0</v>
      </c>
      <c r="G10" s="4">
        <v>25.0</v>
      </c>
    </row>
    <row r="11">
      <c r="A11" s="4" t="s">
        <v>18</v>
      </c>
      <c r="B11" s="19">
        <v>2.9955555555555557</v>
      </c>
      <c r="C11" s="23">
        <v>6.0</v>
      </c>
      <c r="D11" s="23">
        <v>20.0</v>
      </c>
      <c r="E11" s="23">
        <v>0.8</v>
      </c>
      <c r="F11" s="4">
        <v>8.0</v>
      </c>
      <c r="G11" s="4">
        <v>25.0</v>
      </c>
    </row>
    <row r="12">
      <c r="A12" s="4" t="s">
        <v>19</v>
      </c>
      <c r="B12" s="19">
        <v>10.543333333333333</v>
      </c>
      <c r="C12" s="23">
        <v>6.0</v>
      </c>
      <c r="D12" s="23">
        <v>20.0</v>
      </c>
      <c r="E12" s="23">
        <v>1.83</v>
      </c>
      <c r="F12" s="4">
        <v>11.0</v>
      </c>
      <c r="G12" s="4">
        <v>250.0</v>
      </c>
    </row>
    <row r="13">
      <c r="A13" s="4" t="s">
        <v>20</v>
      </c>
      <c r="B13" s="19">
        <v>6.22</v>
      </c>
      <c r="C13" s="23">
        <v>6.0</v>
      </c>
      <c r="D13" s="23">
        <v>20.0</v>
      </c>
      <c r="E13" s="23">
        <v>2.82</v>
      </c>
      <c r="F13" s="4">
        <v>11.0</v>
      </c>
      <c r="G13" s="4">
        <v>150.0</v>
      </c>
    </row>
    <row r="14">
      <c r="A14" s="4" t="s">
        <v>21</v>
      </c>
      <c r="B14" s="19">
        <v>13.686363636363636</v>
      </c>
      <c r="C14" s="23">
        <v>6.0</v>
      </c>
      <c r="D14" s="23">
        <v>20.0</v>
      </c>
      <c r="E14" s="23">
        <v>2.15</v>
      </c>
      <c r="F14" s="4">
        <v>8.0</v>
      </c>
      <c r="G14" s="4">
        <v>55.0</v>
      </c>
    </row>
    <row r="15">
      <c r="A15" s="4" t="s">
        <v>22</v>
      </c>
      <c r="B15" s="20">
        <v>3.0</v>
      </c>
      <c r="C15" s="23">
        <v>6.0</v>
      </c>
      <c r="D15" s="23">
        <v>20.0</v>
      </c>
      <c r="E15" s="23">
        <v>1.5</v>
      </c>
      <c r="F15" s="4">
        <v>13.0</v>
      </c>
      <c r="G15" s="4">
        <v>20.0</v>
      </c>
    </row>
    <row r="16">
      <c r="A16" s="4" t="s">
        <v>23</v>
      </c>
      <c r="B16" s="19">
        <v>14.805</v>
      </c>
      <c r="C16" s="23">
        <v>6.0</v>
      </c>
      <c r="D16" s="23">
        <v>20.0</v>
      </c>
      <c r="E16" s="23">
        <v>1.69</v>
      </c>
      <c r="F16" s="4">
        <v>10.0</v>
      </c>
      <c r="G16" s="4">
        <v>150.0</v>
      </c>
    </row>
    <row r="17">
      <c r="A17" s="4" t="s">
        <v>24</v>
      </c>
      <c r="B17" s="20">
        <v>5.0</v>
      </c>
      <c r="C17" s="23">
        <v>5.0</v>
      </c>
      <c r="D17" s="23">
        <v>20.0</v>
      </c>
      <c r="E17" s="23">
        <v>1.85</v>
      </c>
      <c r="F17" s="4">
        <v>8.0</v>
      </c>
      <c r="G17" s="4">
        <v>200.0</v>
      </c>
    </row>
    <row r="18">
      <c r="A18" s="4" t="s">
        <v>34</v>
      </c>
      <c r="B18" s="4"/>
      <c r="C18" s="23">
        <v>7.0</v>
      </c>
      <c r="D18" s="23"/>
      <c r="E18" s="23"/>
      <c r="F18" s="4"/>
      <c r="G18" s="4"/>
    </row>
    <row r="19">
      <c r="A19" s="4" t="s">
        <v>35</v>
      </c>
      <c r="B19" s="4"/>
      <c r="C19" s="23">
        <v>7.0</v>
      </c>
      <c r="D19" s="23"/>
      <c r="E19" s="23"/>
      <c r="F19" s="4"/>
      <c r="G19" s="4"/>
    </row>
    <row r="20">
      <c r="A20" s="18" t="s">
        <v>36</v>
      </c>
      <c r="B20" s="4"/>
      <c r="C20" s="23">
        <v>7.0</v>
      </c>
      <c r="D20" s="23"/>
      <c r="E20" s="23"/>
      <c r="F20" s="4"/>
      <c r="G20" s="4"/>
    </row>
    <row r="21">
      <c r="A21" s="4" t="s">
        <v>37</v>
      </c>
      <c r="C21" s="23">
        <v>7.0</v>
      </c>
    </row>
    <row r="22">
      <c r="A22" s="4" t="s">
        <v>38</v>
      </c>
      <c r="C22" s="23">
        <v>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3" t="s">
        <v>60</v>
      </c>
      <c r="B1" s="13" t="s">
        <v>0</v>
      </c>
      <c r="C1" s="13" t="s">
        <v>61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8" t="s">
        <v>34</v>
      </c>
      <c r="B2" s="18" t="s">
        <v>13</v>
      </c>
      <c r="C2" s="20">
        <v>0.35</v>
      </c>
      <c r="D2" s="15"/>
      <c r="E2" s="18"/>
      <c r="F2" s="18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8" t="s">
        <v>34</v>
      </c>
      <c r="B3" s="18" t="s">
        <v>14</v>
      </c>
      <c r="C3" s="20">
        <v>0.25</v>
      </c>
      <c r="D3" s="15"/>
      <c r="E3" s="18"/>
      <c r="F3" s="18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8" t="s">
        <v>34</v>
      </c>
      <c r="B4" s="18" t="s">
        <v>9</v>
      </c>
      <c r="C4" s="20">
        <v>0.25</v>
      </c>
      <c r="D4" s="15"/>
      <c r="E4" s="18"/>
      <c r="F4" s="18"/>
      <c r="G4" s="18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8" t="s">
        <v>34</v>
      </c>
      <c r="B5" s="18" t="s">
        <v>23</v>
      </c>
      <c r="C5" s="20">
        <v>0.15</v>
      </c>
      <c r="D5" s="15"/>
      <c r="E5" s="18"/>
      <c r="F5" s="18"/>
      <c r="G5" s="18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8" t="s">
        <v>35</v>
      </c>
      <c r="B6" s="18" t="s">
        <v>11</v>
      </c>
      <c r="C6" s="20">
        <v>0.4</v>
      </c>
      <c r="D6" s="15"/>
      <c r="E6" s="18"/>
      <c r="F6" s="18"/>
      <c r="G6" s="18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8" t="s">
        <v>35</v>
      </c>
      <c r="B7" s="18" t="s">
        <v>19</v>
      </c>
      <c r="C7" s="20">
        <v>0.3</v>
      </c>
      <c r="D7" s="15"/>
      <c r="E7" s="18"/>
      <c r="F7" s="18"/>
      <c r="G7" s="18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8" t="s">
        <v>35</v>
      </c>
      <c r="B8" s="18" t="s">
        <v>15</v>
      </c>
      <c r="C8" s="20">
        <v>0.2</v>
      </c>
      <c r="D8" s="15"/>
      <c r="E8" s="18"/>
      <c r="F8" s="18"/>
      <c r="G8" s="18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8" t="s">
        <v>35</v>
      </c>
      <c r="B9" s="18" t="s">
        <v>20</v>
      </c>
      <c r="C9" s="20">
        <v>0.1</v>
      </c>
      <c r="D9" s="15"/>
      <c r="E9" s="18"/>
      <c r="F9" s="18"/>
      <c r="G9" s="18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8" t="s">
        <v>36</v>
      </c>
      <c r="B10" s="18" t="s">
        <v>23</v>
      </c>
      <c r="C10" s="20">
        <v>0.45</v>
      </c>
      <c r="D10" s="15"/>
      <c r="E10" s="18"/>
      <c r="F10" s="18"/>
      <c r="G10" s="18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8" t="s">
        <v>36</v>
      </c>
      <c r="B11" s="18" t="s">
        <v>9</v>
      </c>
      <c r="C11" s="20">
        <v>0.3</v>
      </c>
      <c r="D11" s="15"/>
      <c r="E11" s="18"/>
      <c r="F11" s="18"/>
      <c r="G11" s="18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8" t="s">
        <v>36</v>
      </c>
      <c r="B12" s="18" t="s">
        <v>13</v>
      </c>
      <c r="C12" s="20">
        <v>0.15</v>
      </c>
      <c r="D12" s="15"/>
      <c r="E12" s="18"/>
      <c r="F12" s="18"/>
      <c r="G12" s="18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8" t="s">
        <v>36</v>
      </c>
      <c r="B13" s="18" t="s">
        <v>21</v>
      </c>
      <c r="C13" s="20">
        <v>0.1</v>
      </c>
      <c r="D13" s="15"/>
      <c r="E13" s="18"/>
      <c r="F13" s="18"/>
      <c r="G13" s="18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8" t="s">
        <v>37</v>
      </c>
      <c r="B14" s="18" t="s">
        <v>21</v>
      </c>
      <c r="C14" s="20">
        <v>0.4</v>
      </c>
      <c r="D14" s="15"/>
      <c r="E14" s="18"/>
      <c r="F14" s="18"/>
      <c r="G14" s="18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8" t="s">
        <v>37</v>
      </c>
      <c r="B15" s="18" t="s">
        <v>18</v>
      </c>
      <c r="C15" s="20">
        <v>0.2</v>
      </c>
      <c r="D15" s="15"/>
      <c r="E15" s="18"/>
      <c r="F15" s="18"/>
      <c r="G15" s="18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8" t="s">
        <v>37</v>
      </c>
      <c r="B16" s="18" t="s">
        <v>23</v>
      </c>
      <c r="C16" s="20">
        <v>0.3</v>
      </c>
      <c r="D16" s="15"/>
      <c r="E16" s="18"/>
      <c r="F16" s="18"/>
      <c r="G16" s="18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8" t="s">
        <v>37</v>
      </c>
      <c r="B17" s="18" t="s">
        <v>10</v>
      </c>
      <c r="C17" s="20">
        <v>0.1</v>
      </c>
      <c r="D17" s="15"/>
      <c r="E17" s="18"/>
      <c r="F17" s="18"/>
      <c r="G17" s="18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8" t="s">
        <v>38</v>
      </c>
      <c r="B18" s="18" t="s">
        <v>19</v>
      </c>
      <c r="C18" s="20">
        <v>0.35</v>
      </c>
      <c r="D18" s="15"/>
      <c r="E18" s="18"/>
      <c r="F18" s="18"/>
      <c r="G18" s="18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8" t="s">
        <v>38</v>
      </c>
      <c r="B19" s="18" t="s">
        <v>14</v>
      </c>
      <c r="C19" s="20">
        <v>0.3</v>
      </c>
      <c r="D19" s="15"/>
      <c r="E19" s="18"/>
      <c r="F19" s="18"/>
      <c r="G19" s="18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8" t="s">
        <v>38</v>
      </c>
      <c r="B20" s="18" t="s">
        <v>20</v>
      </c>
      <c r="C20" s="20">
        <v>0.25</v>
      </c>
      <c r="D20" s="15"/>
      <c r="E20" s="18"/>
      <c r="F20" s="18"/>
      <c r="G20" s="18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8" t="s">
        <v>38</v>
      </c>
      <c r="B21" s="18" t="s">
        <v>9</v>
      </c>
      <c r="C21" s="20">
        <v>0.1</v>
      </c>
      <c r="D21" s="15"/>
      <c r="E21" s="18"/>
      <c r="F21" s="18"/>
      <c r="G21" s="18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8"/>
      <c r="B22" s="18"/>
      <c r="C22" s="18"/>
      <c r="D22" s="15"/>
      <c r="E22" s="18"/>
      <c r="F22" s="18"/>
      <c r="G22" s="18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8"/>
      <c r="B23" s="18"/>
      <c r="C23" s="18"/>
      <c r="D23" s="15"/>
      <c r="E23" s="18"/>
      <c r="F23" s="18"/>
      <c r="G23" s="18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8"/>
      <c r="B24" s="18"/>
      <c r="C24" s="18"/>
      <c r="D24" s="15"/>
      <c r="E24" s="18"/>
      <c r="F24" s="18"/>
      <c r="G24" s="18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8"/>
      <c r="B25" s="18"/>
      <c r="C25" s="18"/>
      <c r="D25" s="15"/>
      <c r="E25" s="18"/>
      <c r="F25" s="18"/>
      <c r="G25" s="18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8"/>
      <c r="B26" s="18"/>
      <c r="C26" s="18"/>
      <c r="D26" s="15"/>
      <c r="E26" s="18"/>
      <c r="F26" s="18"/>
      <c r="G26" s="18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8"/>
      <c r="B27" s="18"/>
      <c r="C27" s="18"/>
      <c r="D27" s="15"/>
      <c r="E27" s="18"/>
      <c r="F27" s="18"/>
      <c r="G27" s="18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8"/>
      <c r="B28" s="18"/>
      <c r="C28" s="18"/>
      <c r="D28" s="15"/>
      <c r="E28" s="18"/>
      <c r="F28" s="18"/>
      <c r="G28" s="18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8"/>
      <c r="B29" s="18"/>
      <c r="C29" s="18"/>
      <c r="D29" s="15"/>
      <c r="E29" s="18"/>
      <c r="F29" s="18"/>
      <c r="G29" s="18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8"/>
      <c r="B30" s="18"/>
      <c r="C30" s="18"/>
      <c r="D30" s="15"/>
      <c r="E30" s="18"/>
      <c r="F30" s="18"/>
      <c r="G30" s="18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8"/>
      <c r="B31" s="18"/>
      <c r="C31" s="18"/>
      <c r="D31" s="15"/>
      <c r="E31" s="18"/>
      <c r="F31" s="18"/>
      <c r="G31" s="18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8"/>
      <c r="B32" s="18"/>
      <c r="C32" s="18"/>
      <c r="D32" s="15"/>
      <c r="E32" s="18"/>
      <c r="F32" s="18"/>
      <c r="G32" s="18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38"/>
    <col customWidth="1" min="3" max="3" width="16.75"/>
    <col customWidth="1" min="4" max="4" width="15.88"/>
    <col customWidth="1" min="5" max="5" width="15.38"/>
  </cols>
  <sheetData>
    <row r="1">
      <c r="A1" s="1" t="s">
        <v>0</v>
      </c>
      <c r="B1" s="1" t="s">
        <v>62</v>
      </c>
      <c r="C1" s="1" t="s">
        <v>63</v>
      </c>
      <c r="D1" s="1"/>
      <c r="E1" s="1"/>
    </row>
    <row r="2">
      <c r="A2" s="4" t="s">
        <v>9</v>
      </c>
      <c r="B2" s="4">
        <f>'Production Summary'!B2*'Info Master'!G2</f>
        <v>0</v>
      </c>
      <c r="C2" s="8" t="str">
        <f>if(B2=0,"-",'Production Summary'!E2)</f>
        <v>-</v>
      </c>
    </row>
    <row r="3">
      <c r="A3" s="4" t="s">
        <v>10</v>
      </c>
      <c r="B3" s="4">
        <f>'Production Summary'!B3*'Info Master'!G3</f>
        <v>0</v>
      </c>
      <c r="C3" s="8" t="str">
        <f>if(B3=0,"-",'Production Summary'!E3)</f>
        <v>-</v>
      </c>
    </row>
    <row r="4">
      <c r="A4" s="4" t="s">
        <v>11</v>
      </c>
      <c r="B4" s="4">
        <f>'Production Summary'!B4*'Info Master'!G4</f>
        <v>0</v>
      </c>
      <c r="C4" s="8" t="str">
        <f>if(B4=0,"-",'Production Summary'!E4)</f>
        <v>-</v>
      </c>
    </row>
    <row r="5">
      <c r="A5" s="4" t="s">
        <v>12</v>
      </c>
      <c r="B5" s="4">
        <f>'Production Summary'!B5*'Info Master'!G5</f>
        <v>0</v>
      </c>
      <c r="C5" s="8" t="str">
        <f>if(B5=0,"-",'Production Summary'!E5)</f>
        <v>-</v>
      </c>
    </row>
    <row r="6">
      <c r="A6" s="4" t="s">
        <v>13</v>
      </c>
      <c r="B6" s="4">
        <f>'Production Summary'!B6*'Info Master'!G6</f>
        <v>75</v>
      </c>
      <c r="C6" s="9">
        <f>if(B6=0,"-",'Production Summary'!E6)</f>
        <v>46007</v>
      </c>
    </row>
    <row r="7">
      <c r="A7" s="4" t="s">
        <v>14</v>
      </c>
      <c r="B7" s="4">
        <f>'Production Summary'!B7*'Info Master'!G7</f>
        <v>0</v>
      </c>
      <c r="C7" s="8" t="str">
        <f>if(B7=0,"-",'Production Summary'!E7)</f>
        <v>-</v>
      </c>
    </row>
    <row r="8">
      <c r="A8" s="4" t="s">
        <v>15</v>
      </c>
      <c r="B8" s="4">
        <f>'Production Summary'!B8*'Info Master'!G8</f>
        <v>0</v>
      </c>
      <c r="C8" s="8" t="str">
        <f>if(B8=0,"-",'Production Summary'!E8)</f>
        <v>-</v>
      </c>
    </row>
    <row r="9">
      <c r="A9" s="4" t="s">
        <v>16</v>
      </c>
      <c r="B9" s="4">
        <f>'Production Summary'!B9*'Info Master'!G9</f>
        <v>0</v>
      </c>
      <c r="C9" s="8" t="str">
        <f>if(B9=0,"-",'Production Summary'!E9)</f>
        <v>-</v>
      </c>
    </row>
    <row r="10">
      <c r="A10" s="4" t="s">
        <v>17</v>
      </c>
      <c r="B10" s="4">
        <f>'Production Summary'!B10*'Info Master'!G10</f>
        <v>0</v>
      </c>
      <c r="C10" s="8" t="str">
        <f>if(B10=0,"-",'Production Summary'!E10)</f>
        <v>-</v>
      </c>
    </row>
    <row r="11">
      <c r="A11" s="4" t="s">
        <v>18</v>
      </c>
      <c r="B11" s="4">
        <f>'Production Summary'!B11*'Info Master'!G11</f>
        <v>0</v>
      </c>
      <c r="C11" s="8" t="str">
        <f>if(B11=0,"-",'Production Summary'!E11)</f>
        <v>-</v>
      </c>
    </row>
    <row r="12">
      <c r="A12" s="4" t="s">
        <v>19</v>
      </c>
      <c r="B12" s="4">
        <f>'Production Summary'!B12*'Info Master'!G12</f>
        <v>0</v>
      </c>
      <c r="C12" s="8" t="str">
        <f>if(B12=0,"-",'Production Summary'!E12)</f>
        <v>-</v>
      </c>
    </row>
    <row r="13">
      <c r="A13" s="4" t="s">
        <v>20</v>
      </c>
      <c r="B13" s="4">
        <f>'Production Summary'!B13*'Info Master'!G13</f>
        <v>0</v>
      </c>
      <c r="C13" s="8" t="str">
        <f>if(B13=0,"-",'Production Summary'!E13)</f>
        <v>-</v>
      </c>
    </row>
    <row r="14">
      <c r="A14" s="4" t="s">
        <v>21</v>
      </c>
      <c r="B14" s="4">
        <f>'Production Summary'!B14*'Info Master'!G14</f>
        <v>0</v>
      </c>
      <c r="C14" s="8" t="str">
        <f>if(B14=0,"-",'Production Summary'!E14)</f>
        <v>-</v>
      </c>
    </row>
    <row r="15">
      <c r="A15" s="4" t="s">
        <v>22</v>
      </c>
      <c r="B15" s="4">
        <f>'Production Summary'!B15*'Info Master'!G15</f>
        <v>0</v>
      </c>
      <c r="C15" s="8" t="str">
        <f>if(B15=0,"-",'Production Summary'!E15)</f>
        <v>-</v>
      </c>
    </row>
    <row r="16">
      <c r="A16" s="4" t="s">
        <v>23</v>
      </c>
      <c r="B16" s="4">
        <f>'Production Summary'!B16*'Info Master'!G16</f>
        <v>0</v>
      </c>
      <c r="C16" s="8" t="str">
        <f>if(B16=0,"-",'Production Summary'!E16)</f>
        <v>-</v>
      </c>
    </row>
    <row r="17">
      <c r="A17" s="4" t="s">
        <v>24</v>
      </c>
      <c r="B17" s="4">
        <f>'Production Summary'!B17*'Info Master'!G17</f>
        <v>0</v>
      </c>
      <c r="C17" s="8" t="str">
        <f>if(B17=0,"-",'Production Summary'!E17)</f>
        <v>-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</cols>
  <sheetData>
    <row r="1">
      <c r="A1" s="1" t="s">
        <v>63</v>
      </c>
      <c r="B1" s="1" t="s">
        <v>0</v>
      </c>
      <c r="C1" s="1" t="s">
        <v>64</v>
      </c>
      <c r="D1" s="1" t="s">
        <v>65</v>
      </c>
      <c r="E1" s="1" t="s">
        <v>66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8" t="str">
        <f>if(C2=0,"-",'Production Summary'!E2)</f>
        <v>-</v>
      </c>
      <c r="B2" s="4" t="s">
        <v>9</v>
      </c>
      <c r="C2" s="5">
        <f>'Production Summary'!B2</f>
        <v>0</v>
      </c>
      <c r="D2" s="4">
        <v>115.5</v>
      </c>
      <c r="E2" s="8">
        <f t="shared" ref="E2:E17" si="1">C2*D2</f>
        <v>0</v>
      </c>
    </row>
    <row r="3">
      <c r="A3" s="8" t="str">
        <f>if(C3=0,"-",'Production Summary'!E3)</f>
        <v>-</v>
      </c>
      <c r="B3" s="4" t="s">
        <v>10</v>
      </c>
      <c r="C3" s="5">
        <f>'Production Summary'!B3</f>
        <v>0</v>
      </c>
      <c r="D3" s="4">
        <v>115.5</v>
      </c>
      <c r="E3" s="8">
        <f t="shared" si="1"/>
        <v>0</v>
      </c>
    </row>
    <row r="4">
      <c r="A4" s="8" t="str">
        <f>if(C4=0,"-",'Production Summary'!E4)</f>
        <v>-</v>
      </c>
      <c r="B4" s="4" t="s">
        <v>11</v>
      </c>
      <c r="C4" s="5">
        <f>'Production Summary'!B4</f>
        <v>0</v>
      </c>
      <c r="D4" s="4">
        <v>115.5</v>
      </c>
      <c r="E4" s="8">
        <f t="shared" si="1"/>
        <v>0</v>
      </c>
    </row>
    <row r="5">
      <c r="A5" s="8" t="str">
        <f>if(C5=0,"-",'Production Summary'!E5)</f>
        <v>-</v>
      </c>
      <c r="B5" s="4" t="s">
        <v>12</v>
      </c>
      <c r="C5" s="5">
        <f>'Production Summary'!B5</f>
        <v>0</v>
      </c>
      <c r="D5" s="4">
        <v>115.5</v>
      </c>
      <c r="E5" s="8">
        <f t="shared" si="1"/>
        <v>0</v>
      </c>
    </row>
    <row r="6">
      <c r="A6" s="9">
        <f>if(C6=0,"-",'Production Summary'!E6)</f>
        <v>46007</v>
      </c>
      <c r="B6" s="4" t="s">
        <v>13</v>
      </c>
      <c r="C6" s="5">
        <f>'Production Summary'!B6</f>
        <v>3</v>
      </c>
      <c r="D6" s="4">
        <v>115.5</v>
      </c>
      <c r="E6" s="8">
        <f t="shared" si="1"/>
        <v>346.5</v>
      </c>
    </row>
    <row r="7">
      <c r="A7" s="8" t="str">
        <f>if(C7=0,"-",'Production Summary'!E7)</f>
        <v>-</v>
      </c>
      <c r="B7" s="4" t="s">
        <v>14</v>
      </c>
      <c r="C7" s="5">
        <f>'Production Summary'!B7</f>
        <v>0</v>
      </c>
      <c r="D7" s="4">
        <v>115.5</v>
      </c>
      <c r="E7" s="8">
        <f t="shared" si="1"/>
        <v>0</v>
      </c>
    </row>
    <row r="8">
      <c r="A8" s="8" t="str">
        <f>if(C8=0,"-",'Production Summary'!E8)</f>
        <v>-</v>
      </c>
      <c r="B8" s="4" t="s">
        <v>15</v>
      </c>
      <c r="C8" s="5">
        <f>'Production Summary'!B8</f>
        <v>0</v>
      </c>
      <c r="D8" s="4">
        <v>115.5</v>
      </c>
      <c r="E8" s="8">
        <f t="shared" si="1"/>
        <v>0</v>
      </c>
    </row>
    <row r="9">
      <c r="A9" s="8" t="str">
        <f>if(C9=0,"-",'Production Summary'!E9)</f>
        <v>-</v>
      </c>
      <c r="B9" s="4" t="s">
        <v>16</v>
      </c>
      <c r="C9" s="5">
        <f>'Production Summary'!B9</f>
        <v>0</v>
      </c>
      <c r="D9" s="4">
        <v>115.5</v>
      </c>
      <c r="E9" s="8">
        <f t="shared" si="1"/>
        <v>0</v>
      </c>
    </row>
    <row r="10">
      <c r="A10" s="8" t="str">
        <f>if(C10=0,"-",'Production Summary'!E10)</f>
        <v>-</v>
      </c>
      <c r="B10" s="4" t="s">
        <v>17</v>
      </c>
      <c r="C10" s="5">
        <f>'Production Summary'!B10</f>
        <v>0</v>
      </c>
      <c r="D10" s="4">
        <v>115.5</v>
      </c>
      <c r="E10" s="8">
        <f t="shared" si="1"/>
        <v>0</v>
      </c>
    </row>
    <row r="11">
      <c r="A11" s="8" t="str">
        <f>if(C11=0,"-",'Production Summary'!E11)</f>
        <v>-</v>
      </c>
      <c r="B11" s="4" t="s">
        <v>18</v>
      </c>
      <c r="C11" s="5">
        <f>'Production Summary'!B11</f>
        <v>0</v>
      </c>
      <c r="D11" s="4">
        <v>115.5</v>
      </c>
      <c r="E11" s="8">
        <f t="shared" si="1"/>
        <v>0</v>
      </c>
    </row>
    <row r="12">
      <c r="A12" s="8" t="str">
        <f>if(C12=0,"-",'Production Summary'!E12)</f>
        <v>-</v>
      </c>
      <c r="B12" s="4" t="s">
        <v>19</v>
      </c>
      <c r="C12" s="5">
        <f>'Production Summary'!B12</f>
        <v>0</v>
      </c>
      <c r="D12" s="4">
        <v>115.5</v>
      </c>
      <c r="E12" s="8">
        <f t="shared" si="1"/>
        <v>0</v>
      </c>
    </row>
    <row r="13">
      <c r="A13" s="8" t="str">
        <f>if(C13=0,"-",'Production Summary'!E13)</f>
        <v>-</v>
      </c>
      <c r="B13" s="4" t="s">
        <v>20</v>
      </c>
      <c r="C13" s="5">
        <f>'Production Summary'!B13</f>
        <v>0</v>
      </c>
      <c r="D13" s="4">
        <v>115.5</v>
      </c>
      <c r="E13" s="8">
        <f t="shared" si="1"/>
        <v>0</v>
      </c>
    </row>
    <row r="14">
      <c r="A14" s="8" t="str">
        <f>if(C14=0,"-",'Production Summary'!E14)</f>
        <v>-</v>
      </c>
      <c r="B14" s="4" t="s">
        <v>21</v>
      </c>
      <c r="C14" s="5">
        <f>'Production Summary'!B14</f>
        <v>0</v>
      </c>
      <c r="D14" s="4">
        <v>115.5</v>
      </c>
      <c r="E14" s="8">
        <f t="shared" si="1"/>
        <v>0</v>
      </c>
    </row>
    <row r="15">
      <c r="A15" s="8" t="str">
        <f>if(C15=0,"-",'Production Summary'!E15)</f>
        <v>-</v>
      </c>
      <c r="B15" s="4" t="s">
        <v>22</v>
      </c>
      <c r="C15" s="5">
        <f>'Production Summary'!B15</f>
        <v>0</v>
      </c>
      <c r="D15" s="4">
        <v>115.5</v>
      </c>
      <c r="E15" s="8">
        <f t="shared" si="1"/>
        <v>0</v>
      </c>
    </row>
    <row r="16">
      <c r="A16" s="8" t="str">
        <f>if(C16=0,"-",'Production Summary'!E16)</f>
        <v>-</v>
      </c>
      <c r="B16" s="4" t="s">
        <v>23</v>
      </c>
      <c r="C16" s="5">
        <f>'Production Summary'!B16</f>
        <v>0</v>
      </c>
      <c r="D16" s="4">
        <v>115.5</v>
      </c>
      <c r="E16" s="8">
        <f t="shared" si="1"/>
        <v>0</v>
      </c>
    </row>
    <row r="17">
      <c r="A17" s="8" t="str">
        <f>if(C17=0,"-",'Production Summary'!E17)</f>
        <v>-</v>
      </c>
      <c r="B17" s="4" t="s">
        <v>24</v>
      </c>
      <c r="C17" s="5">
        <f>'Production Summary'!B17</f>
        <v>0</v>
      </c>
      <c r="D17" s="4">
        <v>115.5</v>
      </c>
      <c r="E17" s="8">
        <f t="shared" si="1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14.25"/>
  </cols>
  <sheetData>
    <row r="1">
      <c r="A1" s="1" t="s">
        <v>67</v>
      </c>
      <c r="B1" s="1" t="s">
        <v>68</v>
      </c>
      <c r="C1" s="1" t="s">
        <v>69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">
        <f>'Production Summary'!H1</f>
        <v>46015</v>
      </c>
      <c r="B2" s="4" t="s">
        <v>70</v>
      </c>
      <c r="C2" s="8">
        <f>sum('Farmers Market 1'!G2:G20,'Farmers Market 2'!G2:G20)</f>
        <v>0</v>
      </c>
    </row>
    <row r="3">
      <c r="A3" s="9">
        <f>'Production Summary'!H1</f>
        <v>46015</v>
      </c>
      <c r="B3" s="4" t="s">
        <v>71</v>
      </c>
      <c r="C3" s="8">
        <f>sum(Subscriptions!D2:D21)</f>
        <v>3</v>
      </c>
    </row>
    <row r="4">
      <c r="A4" s="9">
        <f>'Production Summary'!H1</f>
        <v>46015</v>
      </c>
      <c r="B4" s="4" t="s">
        <v>72</v>
      </c>
      <c r="C4" s="8">
        <f>sum('One-Time Orders'!D2:D14)</f>
        <v>0</v>
      </c>
    </row>
  </sheetData>
  <drawing r:id="rId1"/>
</worksheet>
</file>